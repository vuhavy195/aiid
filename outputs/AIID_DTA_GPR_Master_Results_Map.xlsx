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c1ea7a851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16f47d3a64243f3"/>
    <x:sheet xmlns:r="http://schemas.openxmlformats.org/officeDocument/2006/relationships" name="Master Map" sheetId="2" r:id="R7ab486ca6be845d5"/>
    <x:sheet xmlns:r="http://schemas.openxmlformats.org/officeDocument/2006/relationships" name="Paper Tables" sheetId="3" r:id="R66211a1d6d674b99"/>
    <x:sheet xmlns:r="http://schemas.openxmlformats.org/officeDocument/2006/relationships" name="Source Index" sheetId="4" r:id="R124bc949166941c6"/>
    <x:sheet xmlns:r="http://schemas.openxmlformats.org/officeDocument/2006/relationships" name="README" sheetId="5" r:id="R20192b874e6a48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5">
    <x:font>
      <x:sz val="11"/>
      <x:name val="Carlito"/>
    </x:font>
    <x:font>
      <x:sz val="10"/>
      <x:name val="Aptos"/>
    </x:font>
    <x:font>
      <x:b/>
      <x:sz val="16"/>
      <x:color rgb="FFFFFFFF"/>
      <x:name val="Aptos"/>
    </x:font>
    <x:font>
      <x:i/>
      <x:sz val="10"/>
      <x:color rgb="FF17365D"/>
      <x:name val="Aptos"/>
    </x:font>
    <x:font>
      <x:b/>
      <x:sz val="10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46f08e67bd43da" /><Relationship Type="http://schemas.openxmlformats.org/officeDocument/2006/relationships/theme" Target="/xl/theme/theme1.xml" Id="R5822a636df6e45f2" /><Relationship Type="http://schemas.openxmlformats.org/officeDocument/2006/relationships/sharedStrings" Target="/xl/sharedStrings.xml" Id="R666603cd5412441b" /><Relationship Type="http://schemas.openxmlformats.org/officeDocument/2006/relationships/worksheet" Target="/xl/worksheets/sheet1.xml" Id="R016f47d3a64243f3" /><Relationship Type="http://schemas.openxmlformats.org/officeDocument/2006/relationships/worksheet" Target="/xl/worksheets/sheet2.xml" Id="R7ab486ca6be845d5" /><Relationship Type="http://schemas.openxmlformats.org/officeDocument/2006/relationships/worksheet" Target="/xl/worksheets/sheet3.xml" Id="R66211a1d6d674b99" /><Relationship Type="http://schemas.openxmlformats.org/officeDocument/2006/relationships/worksheet" Target="/xl/worksheets/sheet4.xml" Id="R124bc949166941c6" /><Relationship Type="http://schemas.openxmlformats.org/officeDocument/2006/relationships/worksheet" Target="/xl/worksheets/sheet5.xml" Id="R20192b874e6a480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49755dedc946f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DTA depth × GPR effects on link survival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Effect (percentage points)</c:v>
          </c:tx>
          <c:cat>
            <c:strRef>
              <c:f>'Dashboard'!$A$12:$A$18</c:f>
              <c:strCache>
                <c:ptCount val="0"/>
              </c:strCache>
            </c:strRef>
          </c:cat>
          <c:val>
            <c:numRef>
              <c:f>'Dashboard'!$B$12:$B$18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49755dedc946f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ResultsTable" displayName="MasterResultsTable" ref="A1:AD40" headerRowCount="1">
  <x:tableColumns count="30">
    <x:tableColumn id="1" name="Result_ID"/>
    <x:tableColumn id="2" name="Paper_Section"/>
    <x:tableColumn id="3" name="Proposed_Table"/>
    <x:tableColumn id="4" name="Priority"/>
    <x:tableColumn id="5" name="Finding_Group"/>
    <x:tableColumn id="6" name="Outcome"/>
    <x:tableColumn id="7" name="Sample"/>
    <x:tableColumn id="8" name="Estimator"/>
    <x:tableColumn id="9" name="Shock"/>
    <x:tableColumn id="10" name="Specification"/>
    <x:tableColumn id="11" name="Term"/>
    <x:tableColumn id="12" name="Estimate"/>
    <x:tableColumn id="13" name="Effect"/>
    <x:tableColumn id="14" name="Effect_Unit"/>
    <x:tableColumn id="15" name="Std_Error"/>
    <x:tableColumn id="16" name="P_Value"/>
    <x:tableColumn id="17" name="Stars"/>
    <x:tableColumn id="18" name="CI_Low_Effect"/>
    <x:tableColumn id="19" name="CI_High_Effect"/>
    <x:tableColumn id="20" name="FDR_P"/>
    <x:tableColumn id="21" name="FDR_Stars"/>
    <x:tableColumn id="22" name="N"/>
    <x:tableColumn id="23" name="Fixed_Effects"/>
    <x:tableColumn id="24" name="Clustering"/>
    <x:tableColumn id="25" name="Result_Status"/>
    <x:tableColumn id="26" name="Interpretation"/>
    <x:tableColumn id="27" name="Source_File"/>
    <x:tableColumn id="28" name="Source_Filter"/>
    <x:tableColumn id="29" name="Placement"/>
    <x:tableColumn id="30" name="Draft_Status"/>
  </x:tableColumns>
  <x:tableStyleInfo name="TableStyleMedium2" showRowStripes="1"/>
</x:table>
</file>

<file path=xl/tables/table2.xml><?xml version="1.0" encoding="utf-8"?>
<x:table xmlns:x="http://schemas.openxmlformats.org/spreadsheetml/2006/main" id="2" name="PaperTablesPlan" displayName="PaperTablesPlan" ref="A1:G11" headerRowCount="1">
  <x:tableColumns count="7">
    <x:tableColumn id="1" name="Paper_Item"/>
    <x:tableColumn id="2" name="Role"/>
    <x:tableColumn id="3" name="Main_Source"/>
    <x:tableColumn id="4" name="Exact_Filter"/>
    <x:tableColumn id="5" name="Rows_to_Report"/>
    <x:tableColumn id="6" name="Preferred_Inference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SourceIndexTable" displayName="SourceIndexTable" ref="A1:F14" headerRowCount="1">
  <x:tableColumns count="6">
    <x:tableColumn id="1" name="Source_File"/>
    <x:tableColumn id="2" name="Project_Path"/>
    <x:tableColumn id="3" name="Purpose"/>
    <x:tableColumn id="4" name="Key_Columns"/>
    <x:tableColumn id="5" name="How_to_Filter"/>
    <x:tableColumn id="6" name="Feed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3804f8914744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a90fa39e43e4b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6dee1efea042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a5b3659c07f4d8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4" hidden="0" customWidth="1"/>
    <x:col min="5" max="5" width="34" hidden="0" customWidth="1"/>
    <x:col min="6" max="6" width="44" hidden="0" customWidth="1"/>
    <x:col min="7" max="7" width="18" hidden="0" customWidth="1"/>
    <x:col min="8" max="8" width="14" hidden="0" customWidth="1"/>
  </x:cols>
  <x:sheetData>
    <x:row r="1" ht="28" customHeight="1">
      <x:c r="A1" s="24" t="str">
        <x:v>AIID DTA–GPR — Master Results Dashboard</x:v>
      </x:c>
      <x:c r="B1" s="24"/>
      <x:c r="C1" s="24"/>
      <x:c r="D1" s="24"/>
      <x:c r="E1" s="24"/>
      <x:c r="F1" s="24"/>
      <x:c r="G1" s="24"/>
      <x:c r="H1" s="24"/>
      <x:c r="I1" s="25"/>
      <x:c r="J1" s="25"/>
      <x:c r="K1" s="25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 ht="24" customHeight="1">
      <x:c r="A2" s="26" t="str">
        <x:v>Save this workbook locally as H:\AIID_DTA_GPR\outputs\master_results_map.xlsx</x:v>
      </x:c>
      <x:c r="B2" s="26"/>
      <x:c r="C2" s="26"/>
      <x:c r="D2" s="26"/>
      <x:c r="E2" s="26"/>
      <x:c r="F2" s="26"/>
      <x:c r="G2" s="26"/>
      <x:c r="H2" s="26"/>
      <x:c r="I2" s="25"/>
      <x:c r="J2" s="25"/>
      <x:c r="K2" s="25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25"/>
      <x:c r="B3" s="25"/>
      <x:c r="C3" s="25"/>
      <x:c r="D3" s="25"/>
      <x:c r="E3" s="25"/>
      <x:c r="F3" s="25"/>
      <x:c r="G3" s="25"/>
      <x:c r="H3" s="25"/>
      <x:c r="I3" s="25"/>
      <x:c r="J3" s="25"/>
      <x:c r="K3" s="25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>
      <x:c r="A4" s="22" t="str">
        <x:v>KPI</x:v>
      </x:c>
      <x:c r="B4" s="22" t="str">
        <x:v>Value</x:v>
      </x:c>
      <x:c r="C4" s="25"/>
      <x:c r="D4" s="22" t="str">
        <x:v>Key conclusion</x:v>
      </x:c>
      <x:c r="E4" s="22" t="str">
        <x:v>Evidence</x:v>
      </x:c>
      <x:c r="F4" s="22" t="str">
        <x:v>Preferred wording</x:v>
      </x:c>
      <x:c r="G4" s="22" t="str">
        <x:v>Paper section</x:v>
      </x:c>
      <x:c r="H4" s="22" t="str">
        <x:v>Status</x:v>
      </x:c>
      <x:c r="I4" s="25"/>
      <x:c r="J4" s="25"/>
      <x:c r="K4" s="25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25" t="str">
        <x:v>Curated results</x:v>
      </x:c>
      <x:c r="B5" s="25" t="n">
        <x:f>COUNTA('Master Map'!$A$2:$A$200)</x:f>
        <x:v>39</x:v>
      </x:c>
      <x:c r="C5" s="25"/>
      <x:c r="D5" s="25" t="str">
        <x:v>Trade value</x:v>
      </x:c>
      <x:c r="E5" s="25" t="str">
        <x:v>GPR × FTA is negative; average depth is null in the global panel.</x:v>
      </x:c>
      <x:c r="F5" s="25" t="str">
        <x:v>FTA-linked intermediate trade is more sensitive to geopolitical risk.</x:v>
      </x:c>
      <x:c r="G5" s="25" t="str">
        <x:v>Main results</x:v>
      </x:c>
      <x:c r="H5" s="25" t="str">
        <x:v>Use</x:v>
      </x:c>
      <x:c r="I5" s="25"/>
      <x:c r="J5" s="25"/>
      <x:c r="K5" s="25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25" t="str">
        <x:v>Main-text results</x:v>
      </x:c>
      <x:c r="B6" s="25" t="n">
        <x:f>COUNTIF('Master Map'!$AC$2:$AC$200,"Main text")</x:f>
        <x:v>24</x:v>
      </x:c>
      <x:c r="C6" s="25"/>
      <x:c r="D6" s="25" t="str">
        <x:v>Sector heterogeneity</x:v>
      </x:c>
      <x:c r="E6" s="25" t="str">
        <x:v>Five fragmented manufacturing sectors show aligned negative FTA/depth coefficients after FDR.</x:v>
      </x:c>
      <x:c r="F6" s="25" t="str">
        <x:v>Vulnerability is concentrated in fragmented, coordination-intensive supply chains.</x:v>
      </x:c>
      <x:c r="G6" s="25" t="str">
        <x:v>Main results</x:v>
      </x:c>
      <x:c r="H6" s="25" t="str">
        <x:v>Use</x:v>
      </x:c>
      <x:c r="I6" s="25"/>
      <x:c r="J6" s="25"/>
      <x:c r="K6" s="25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25" t="str">
        <x:v>Appendix results</x:v>
      </x:c>
      <x:c r="B7" s="25" t="n">
        <x:f>COUNTIF('Master Map'!$AC$2:$AC$200,"Appendix")</x:f>
        <x:v>15</x:v>
      </x:c>
      <x:c r="C7" s="25"/>
      <x:c r="D7" s="25" t="str">
        <x:v>Link survival</x:v>
      </x:c>
      <x:c r="E7" s="25" t="str">
        <x:v>Depth is negative across global, alternative and country-specific GPR measures.</x:v>
      </x:c>
      <x:c r="F7" s="25" t="str">
        <x:v>Greater legal depth is associated with lower survival of existing trade links.</x:v>
      </x:c>
      <x:c r="G7" s="25" t="str">
        <x:v>Central finding</x:v>
      </x:c>
      <x:c r="H7" s="25" t="str">
        <x:v>Emphasize</x:v>
      </x:c>
      <x:c r="I7" s="25"/>
      <x:c r="J7" s="25"/>
      <x:c r="K7" s="25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25" t="str">
        <x:v>Robust / FDR-robust results</x:v>
      </x:c>
      <x:c r="B8" s="25" t="n">
        <x:f>COUNTIF('Master Map'!$Y$2:$Y$200,"Robust")+COUNTIF('Master Map'!$Y$2:$Y$200,"Robust after FDR")</x:f>
        <x:v>24</x:v>
      </x:c>
      <x:c r="C8" s="25"/>
      <x:c r="D8" s="25" t="str">
        <x:v>Agreement design</x:v>
      </x:c>
      <x:c r="E8" s="25" t="str">
        <x:v>No bundle or individual provision survives BH-FDR.</x:v>
      </x:c>
      <x:c r="F8" s="25" t="str">
        <x:v>No single clause is identified as a robust buffering channel.</x:v>
      </x:c>
      <x:c r="G8" s="25" t="str">
        <x:v>Extension</x:v>
      </x:c>
      <x:c r="H8" s="25" t="str">
        <x:v>Appendix</x:v>
      </x:c>
      <x:c r="I8" s="25"/>
      <x:c r="J8" s="25"/>
      <x:c r="K8" s="25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25"/>
      <x:c r="B9" s="25"/>
      <x:c r="C9" s="25"/>
      <x:c r="D9" s="25" t="str">
        <x:v>Recovery</x:v>
      </x:c>
      <x:c r="E9" s="25" t="str">
        <x:v>One-year signal is not robust to pair–HS2 FE; two-year and full recovery are null.</x:v>
      </x:c>
      <x:c r="F9" s="25" t="str">
        <x:v>Depth is more relevant to resistance than medium-term recovery.</x:v>
      </x:c>
      <x:c r="G9" s="25" t="str">
        <x:v>Extension</x:v>
      </x:c>
      <x:c r="H9" s="25" t="str">
        <x:v>Appendix</x:v>
      </x:c>
      <x:c r="I9" s="25"/>
      <x:c r="J9" s="25"/>
      <x:c r="K9" s="25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5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22" t="str">
        <x:v>Specification</x:v>
      </x:c>
      <x:c r="B11" s="22" t="str">
        <x:v>Effect (percentage points)</x:v>
      </x:c>
      <x:c r="C11" s="25"/>
      <x:c r="D11" s="25"/>
      <x:c r="E11" s="25"/>
      <x:c r="F11" s="25"/>
      <x:c r="G11" s="25"/>
      <x:c r="H11" s="25"/>
      <x:c r="I11" s="25"/>
      <x:c r="J11" s="25"/>
      <x:c r="K11" s="25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25" t="str">
        <x:v>Global mean GPR</x:v>
      </x:c>
      <x:c r="B12" s="25" t="n">
        <x:v>-0.523476333087204</x:v>
      </x:c>
      <x:c r="C12" s="25"/>
      <x:c r="D12" s="25"/>
      <x:c r="E12" s="25"/>
      <x:c r="F12" s="25"/>
      <x:c r="G12" s="25"/>
      <x:c r="H12" s="25"/>
      <x:c r="I12" s="25"/>
      <x:c r="J12" s="25"/>
      <x:c r="K12" s="25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25" t="str">
        <x:v>Established links ≥ $100k</x:v>
      </x:c>
      <x:c r="B13" s="25" t="n">
        <x:v>-0.126536574452753</x:v>
      </x:c>
      <x:c r="C13" s="25"/>
      <x:c r="D13" s="25"/>
      <x:c r="E13" s="25"/>
      <x:c r="F13" s="25"/>
      <x:c r="G13" s="25"/>
      <x:c r="H13" s="25"/>
      <x:c r="I13" s="25"/>
      <x:c r="J13" s="25"/>
      <x:c r="K13" s="25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25" t="str">
        <x:v>Established links ≥ $1m</x:v>
      </x:c>
      <x:c r="B14" s="25" t="n">
        <x:v>-0.14424950509025</x:v>
      </x:c>
      <x:c r="C14" s="25"/>
      <x:c r="D14" s="25"/>
      <x:c r="E14" s="25"/>
      <x:c r="F14" s="25"/>
      <x:c r="G14" s="25"/>
      <x:c r="H14" s="25"/>
      <x:c r="I14" s="25"/>
      <x:c r="J14" s="25"/>
      <x:c r="K14" s="25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25" t="str">
        <x:v>FTA-only, size adjusted</x:v>
      </x:c>
      <x:c r="B15" s="25" t="n">
        <x:v>-0.4574</x:v>
      </x:c>
      <x:c r="C15" s="25"/>
      <x:c r="D15" s="25"/>
      <x:c r="E15" s="25"/>
      <x:c r="F15" s="25"/>
      <x:c r="G15" s="25"/>
      <x:c r="H15" s="25"/>
      <x:c r="I15" s="25"/>
      <x:c r="J15" s="25"/>
      <x:c r="K15" s="25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25" t="str">
        <x:v>Restricted global GPR</x:v>
      </x:c>
      <x:c r="B16" s="25" t="n">
        <x:v>-0.3839</x:v>
      </x:c>
      <x:c r="C16" s="25"/>
      <x:c r="D16" s="25"/>
      <x:c r="E16" s="25"/>
      <x:c r="F16" s="25"/>
      <x:c r="G16" s="25"/>
      <x:c r="H16" s="25"/>
      <x:c r="I16" s="25"/>
      <x:c r="J16" s="25"/>
      <x:c r="K16" s="25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25" t="str">
        <x:v>Pair-average country GPR</x:v>
      </x:c>
      <x:c r="B17" s="25" t="n">
        <x:v>-0.168</x:v>
      </x:c>
      <x:c r="C17" s="25"/>
      <x:c r="D17" s="25"/>
      <x:c r="E17" s="25"/>
      <x:c r="F17" s="25"/>
      <x:c r="G17" s="25"/>
      <x:c r="H17" s="25"/>
      <x:c r="I17" s="25"/>
      <x:c r="J17" s="25"/>
      <x:c r="K17" s="25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25" t="str">
        <x:v>Pair-maximum country GPR</x:v>
      </x:c>
      <x:c r="B18" s="25" t="n">
        <x:v>-0.2033</x:v>
      </x:c>
      <x:c r="C18" s="25"/>
      <x:c r="D18" s="25"/>
      <x:c r="E18" s="25"/>
      <x:c r="F18" s="25"/>
      <x:c r="G18" s="25"/>
      <x:c r="H18" s="25"/>
      <x:c r="I18" s="25"/>
      <x:c r="J18" s="25"/>
      <x:c r="K18" s="25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303804f891474400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2" hidden="0" customWidth="1"/>
    <x:col min="5" max="5" width="22" hidden="0" customWidth="1"/>
    <x:col min="6" max="6" width="30" hidden="0" customWidth="1"/>
    <x:col min="7" max="7" width="26" hidden="0" customWidth="1"/>
    <x:col min="8" max="8" width="11" hidden="0" customWidth="1"/>
    <x:col min="9" max="9" width="24" hidden="0" customWidth="1"/>
    <x:col min="10" max="10" width="30" hidden="0" customWidth="1"/>
    <x:col min="11" max="11" width="24" hidden="0" customWidth="1"/>
    <x:col min="12" max="12" width="12" hidden="0" customWidth="1"/>
    <x:col min="13" max="13" width="12" hidden="0" customWidth="1"/>
    <x:col min="14" max="14" width="18" hidden="0" customWidth="1"/>
    <x:col min="15" max="15" width="12" hidden="0" customWidth="1"/>
    <x:col min="16" max="16" width="11" hidden="0" customWidth="1"/>
    <x:col min="17" max="17" width="8" hidden="0" customWidth="1"/>
    <x:col min="18" max="18" width="13" hidden="0" customWidth="1"/>
    <x:col min="19" max="19" width="13" hidden="0" customWidth="1"/>
    <x:col min="20" max="20" width="11" hidden="0" customWidth="1"/>
    <x:col min="21" max="21" width="10" hidden="0" customWidth="1"/>
    <x:col min="22" max="22" width="12" hidden="0" customWidth="1"/>
    <x:col min="23" max="23" width="38" hidden="0" customWidth="1"/>
    <x:col min="24" max="24" width="24" hidden="0" customWidth="1"/>
    <x:col min="25" max="25" width="20" hidden="0" customWidth="1"/>
    <x:col min="26" max="26" width="54" hidden="0" customWidth="1"/>
    <x:col min="27" max="27" width="46" hidden="0" customWidth="1"/>
    <x:col min="28" max="28" width="58" hidden="0" customWidth="1"/>
    <x:col min="29" max="29" width="14" hidden="0" customWidth="1"/>
    <x:col min="30" max="30" width="14" hidden="0" customWidth="1"/>
  </x:cols>
  <x:sheetData>
    <x:row r="1" ht="32" customHeight="1">
      <x:c r="A1" s="32" t="str">
        <x:v>Result_ID</x:v>
      </x:c>
      <x:c r="B1" s="32" t="str">
        <x:v>Paper_Section</x:v>
      </x:c>
      <x:c r="C1" s="32" t="str">
        <x:v>Proposed_Table</x:v>
      </x:c>
      <x:c r="D1" s="32" t="str">
        <x:v>Priority</x:v>
      </x:c>
      <x:c r="E1" s="32" t="str">
        <x:v>Finding_Group</x:v>
      </x:c>
      <x:c r="F1" s="32" t="str">
        <x:v>Outcome</x:v>
      </x:c>
      <x:c r="G1" s="32" t="str">
        <x:v>Sample</x:v>
      </x:c>
      <x:c r="H1" s="32" t="str">
        <x:v>Estimator</x:v>
      </x:c>
      <x:c r="I1" s="32" t="str">
        <x:v>Shock</x:v>
      </x:c>
      <x:c r="J1" s="32" t="str">
        <x:v>Specification</x:v>
      </x:c>
      <x:c r="K1" s="32" t="str">
        <x:v>Term</x:v>
      </x:c>
      <x:c r="L1" s="32" t="str">
        <x:v>Estimate</x:v>
      </x:c>
      <x:c r="M1" s="32" t="str">
        <x:v>Effect</x:v>
      </x:c>
      <x:c r="N1" s="32" t="str">
        <x:v>Effect_Unit</x:v>
      </x:c>
      <x:c r="O1" s="32" t="str">
        <x:v>Std_Error</x:v>
      </x:c>
      <x:c r="P1" s="32" t="str">
        <x:v>P_Value</x:v>
      </x:c>
      <x:c r="Q1" s="32" t="str">
        <x:v>Stars</x:v>
      </x:c>
      <x:c r="R1" s="32" t="str">
        <x:v>CI_Low_Effect</x:v>
      </x:c>
      <x:c r="S1" s="32" t="str">
        <x:v>CI_High_Effect</x:v>
      </x:c>
      <x:c r="T1" s="32" t="str">
        <x:v>FDR_P</x:v>
      </x:c>
      <x:c r="U1" s="32" t="str">
        <x:v>FDR_Stars</x:v>
      </x:c>
      <x:c r="V1" s="32" t="str">
        <x:v>N</x:v>
      </x:c>
      <x:c r="W1" s="32" t="str">
        <x:v>Fixed_Effects</x:v>
      </x:c>
      <x:c r="X1" s="32" t="str">
        <x:v>Clustering</x:v>
      </x:c>
      <x:c r="Y1" s="32" t="str">
        <x:v>Result_Status</x:v>
      </x:c>
      <x:c r="Z1" s="32" t="str">
        <x:v>Interpretation</x:v>
      </x:c>
      <x:c r="AA1" s="32" t="str">
        <x:v>Source_File</x:v>
      </x:c>
      <x:c r="AB1" s="32" t="str">
        <x:v>Source_Filter</x:v>
      </x:c>
      <x:c r="AC1" s="32" t="str">
        <x:v>Placement</x:v>
      </x:c>
      <x:c r="AD1" s="32" t="str">
        <x:v>Draft_Status</x:v>
      </x:c>
    </x:row>
    <x:row r="2">
      <x:c r="A2" s="25" t="str">
        <x:v>M01</x:v>
      </x:c>
      <x:c r="B2" s="25" t="str">
        <x:v>Main results</x:v>
      </x:c>
      <x:c r="C2" s="25" t="str">
        <x:v>Table 3</x:v>
      </x:c>
      <x:c r="D2" s="25" t="str">
        <x:v>Core</x:v>
      </x:c>
      <x:c r="E2" s="25" t="str">
        <x:v>Baseline trade value</x:v>
      </x:c>
      <x:c r="F2" s="25" t="str">
        <x:v>Intermediate-goods trade value</x:v>
      </x:c>
      <x:c r="G2" s="25" t="str">
        <x:v>Full global HS2 panel</x:v>
      </x:c>
      <x:c r="H2" s="25" t="str">
        <x:v>PPML</x:v>
      </x:c>
      <x:c r="I2" s="25" t="str">
        <x:v>Global mean GPR</x:v>
      </x:c>
      <x:c r="J2" s="25" t="str">
        <x:v>FTA-only interaction model</x:v>
      </x:c>
      <x:c r="K2" s="25" t="str">
        <x:v>GPR × FTA</x:v>
      </x:c>
      <x:c r="L2" s="36" t="n">
        <x:v>-0.0240551635020092</x:v>
      </x:c>
      <x:c r="M2" s="36" t="n">
        <x:v>-2.37681440954052</x:v>
      </x:c>
      <x:c r="N2" s="36" t="str">
        <x:v>percent</x:v>
      </x:c>
      <x:c r="O2" s="36" t="n">
        <x:v>0.0106683579926576</x:v>
      </x:c>
      <x:c r="P2" s="36" t="n">
        <x:v>0.0241450029523487</x:v>
      </x:c>
      <x:c r="Q2" s="36" t="str">
        <x:f>IF(P2&lt;0.01,"***",IF(P2&lt;0.05,"**",IF(P2&lt;0.1,"*","")))</x:f>
        <x:v>**</x:v>
      </x:c>
      <x:c r="R2" s="36" t="n">
        <x:v>-4.39691964542052</x:v>
      </x:c>
      <x:c r="S2" s="36" t="n">
        <x:v>-0.314024093337861</x:v>
      </x:c>
      <x:c r="T2" s="36"/>
      <x:c r="U2" s="25" t="str">
        <x:f>IF(T2="","",IF(T2&lt;0.01,"***",IF(T2&lt;0.05,"**",IF(T2&lt;0.1,"*",""))))</x:f>
      </x:c>
      <x:c r="V2" s="38" t="n">
        <x:v>16752356</x:v>
      </x:c>
      <x:c r="W2" s="25" t="str">
        <x:v>Pair–HS2; exporter–year; importer–year; HS2–year</x:v>
      </x:c>
      <x:c r="X2" s="25" t="str">
        <x:v>Unordered pair + year</x:v>
      </x:c>
      <x:c r="Y2" s="25" t="str">
        <x:v>Robust</x:v>
      </x:c>
      <x:c r="Z2" s="25" t="str">
        <x:v>FTA-linked trade is more sensitive to a one-SD increase in global GPR.</x:v>
      </x:c>
      <x:c r="AA2" s="25" t="str">
        <x:v>outputs/tables/step10b_hs2_core_coefficients.csv</x:v>
      </x:c>
      <x:c r="AB2" s="25" t="str">
        <x:v>model="hs2_fta"; inference="pair_plus_year_cluster"; term="gpr_x_fta_l1"</x:v>
      </x:c>
      <x:c r="AC2" s="25" t="str">
        <x:v>Main text</x:v>
      </x:c>
      <x:c r="AD2" s="25" t="str">
        <x:v>Not drafted</x:v>
      </x:c>
    </x:row>
    <x:row r="3">
      <x:c r="A3" s="25" t="str">
        <x:v>M02</x:v>
      </x:c>
      <x:c r="B3" s="25" t="str">
        <x:v>Main results</x:v>
      </x:c>
      <x:c r="C3" s="25" t="str">
        <x:v>Table 3</x:v>
      </x:c>
      <x:c r="D3" s="25" t="str">
        <x:v>Core</x:v>
      </x:c>
      <x:c r="E3" s="25" t="str">
        <x:v>Baseline trade value</x:v>
      </x:c>
      <x:c r="F3" s="25" t="str">
        <x:v>Intermediate-goods trade value</x:v>
      </x:c>
      <x:c r="G3" s="25" t="str">
        <x:v>Full global HS2 panel</x:v>
      </x:c>
      <x:c r="H3" s="25" t="str">
        <x:v>PPML</x:v>
      </x:c>
      <x:c r="I3" s="25" t="str">
        <x:v>Global mean GPR</x:v>
      </x:c>
      <x:c r="J3" s="25" t="str">
        <x:v>Depth-only interaction model</x:v>
      </x:c>
      <x:c r="K3" s="25" t="str">
        <x:v>GPR × DTA depth</x:v>
      </x:c>
      <x:c r="L3" s="36" t="n">
        <x:v>-0.00530721376646398</x:v>
      </x:c>
      <x:c r="M3" s="36" t="n">
        <x:v>-0.529315538874986</x:v>
      </x:c>
      <x:c r="N3" s="36" t="str">
        <x:v>percent</x:v>
      </x:c>
      <x:c r="O3" s="36" t="n">
        <x:v>0.00466062017281403</x:v>
      </x:c>
      <x:c r="P3" s="36" t="n">
        <x:v>0.254813480204719</x:v>
      </x:c>
      <x:c r="Q3" s="36" t="str">
        <x:f>IF(P3&lt;0.01,"***",IF(P3&lt;0.05,"**",IF(P3&lt;0.1,"*","")))</x:f>
      </x:c>
      <x:c r="R3" s="36" t="n">
        <x:v>-1.43382434269073</x:v>
      </x:c>
      <x:c r="S3" s="36" t="n">
        <x:v>0.383493639493415</x:v>
      </x:c>
      <x:c r="T3" s="36"/>
      <x:c r="U3" s="25" t="str">
        <x:f>IF(T3="","",IF(T3&lt;0.01,"***",IF(T3&lt;0.05,"**",IF(T3&lt;0.1,"*",""))))</x:f>
      </x:c>
      <x:c r="V3" s="38" t="n">
        <x:v>16752356</x:v>
      </x:c>
      <x:c r="W3" s="25" t="str">
        <x:v>Pair–HS2; exporter–year; importer–year; HS2–year</x:v>
      </x:c>
      <x:c r="X3" s="25" t="str">
        <x:v>Unordered pair + year</x:v>
      </x:c>
      <x:c r="Y3" s="25" t="str">
        <x:v>Null</x:v>
      </x:c>
      <x:c r="Z3" s="25" t="str">
        <x:v>No detectable average buffering effect of ten additional enforceable provisions.</x:v>
      </x:c>
      <x:c r="AA3" s="25" t="str">
        <x:v>outputs/tables/step10b_hs2_core_coefficients.csv</x:v>
      </x:c>
      <x:c r="AB3" s="25" t="str">
        <x:v>model="hs2_depth"; inference="pair_plus_year_cluster"; term="gpr_x_depth_strict_l1_10"</x:v>
      </x:c>
      <x:c r="AC3" s="25" t="str">
        <x:v>Main text</x:v>
      </x:c>
      <x:c r="AD3" s="25" t="str">
        <x:v>Not drafted</x:v>
      </x:c>
    </x:row>
    <x:row r="4">
      <x:c r="A4" s="25" t="str">
        <x:v>M03</x:v>
      </x:c>
      <x:c r="B4" s="25" t="str">
        <x:v>Main results</x:v>
      </x:c>
      <x:c r="C4" s="25" t="str">
        <x:v>Table 3</x:v>
      </x:c>
      <x:c r="D4" s="25" t="str">
        <x:v>Core</x:v>
      </x:c>
      <x:c r="E4" s="25" t="str">
        <x:v>Joint trade-value model</x:v>
      </x:c>
      <x:c r="F4" s="25" t="str">
        <x:v>Intermediate-goods trade value</x:v>
      </x:c>
      <x:c r="G4" s="25" t="str">
        <x:v>Full global HS2 panel</x:v>
      </x:c>
      <x:c r="H4" s="25" t="str">
        <x:v>PPML</x:v>
      </x:c>
      <x:c r="I4" s="25" t="str">
        <x:v>Global mean GPR</x:v>
      </x:c>
      <x:c r="J4" s="25" t="str">
        <x:v>Joint FTA + depth model</x:v>
      </x:c>
      <x:c r="K4" s="25" t="str">
        <x:v>GPR × FTA</x:v>
      </x:c>
      <x:c r="L4" s="36" t="n">
        <x:v>-0.0382358307135033</x:v>
      </x:c>
      <x:c r="M4" s="36" t="n">
        <x:v>-3.75140696194722</x:v>
      </x:c>
      <x:c r="N4" s="36" t="str">
        <x:v>percent</x:v>
      </x:c>
      <x:c r="O4" s="36" t="n">
        <x:v>0.0170899054505271</x:v>
      </x:c>
      <x:c r="P4" s="36" t="n">
        <x:v>0.0252645026093955</x:v>
      </x:c>
      <x:c r="Q4" s="36" t="str">
        <x:f>IF(P4&lt;0.01,"***",IF(P4&lt;0.05,"**",IF(P4&lt;0.1,"*","")))</x:f>
        <x:v>**</x:v>
      </x:c>
      <x:c r="R4" s="36" t="n">
        <x:v>-6.92197307427072</x:v>
      </x:c>
      <x:c r="S4" s="36" t="n">
        <x:v>-0.472840177449674</x:v>
      </x:c>
      <x:c r="T4" s="36"/>
      <x:c r="U4" s="25" t="str">
        <x:f>IF(T4="","",IF(T4&lt;0.01,"***",IF(T4&lt;0.05,"**",IF(T4&lt;0.1,"*",""))))</x:f>
      </x:c>
      <x:c r="V4" s="38" t="n">
        <x:v>16752356</x:v>
      </x:c>
      <x:c r="W4" s="25" t="str">
        <x:v>Pair–HS2; exporter–year; importer–year; HS2–year</x:v>
      </x:c>
      <x:c r="X4" s="25" t="str">
        <x:v>Unordered pair + year</x:v>
      </x:c>
      <x:c r="Y4" s="25" t="str">
        <x:v>Robust</x:v>
      </x:c>
      <x:c r="Z4" s="25" t="str">
        <x:v>The negative FTA interaction remains when FTA membership and depth enter jointly.</x:v>
      </x:c>
      <x:c r="AA4" s="25" t="str">
        <x:v>outputs/tables/step10c_hs2_robustness_coefficients.csv</x:v>
      </x:c>
      <x:c r="AB4" s="25" t="str">
        <x:v>model="joint_fta_depth"; inference="pair_plus_year_cluster"; term="gpr_x_fta_l1"</x:v>
      </x:c>
      <x:c r="AC4" s="25" t="str">
        <x:v>Main text</x:v>
      </x:c>
      <x:c r="AD4" s="25" t="str">
        <x:v>Not drafted</x:v>
      </x:c>
    </x:row>
    <x:row r="5">
      <x:c r="A5" s="25" t="str">
        <x:v>M04</x:v>
      </x:c>
      <x:c r="B5" s="25" t="str">
        <x:v>Main results</x:v>
      </x:c>
      <x:c r="C5" s="25" t="str">
        <x:v>Table 3</x:v>
      </x:c>
      <x:c r="D5" s="25" t="str">
        <x:v>Core</x:v>
      </x:c>
      <x:c r="E5" s="25" t="str">
        <x:v>Joint trade-value model</x:v>
      </x:c>
      <x:c r="F5" s="25" t="str">
        <x:v>Intermediate-goods trade value</x:v>
      </x:c>
      <x:c r="G5" s="25" t="str">
        <x:v>Full global HS2 panel</x:v>
      </x:c>
      <x:c r="H5" s="25" t="str">
        <x:v>PPML</x:v>
      </x:c>
      <x:c r="I5" s="25" t="str">
        <x:v>Global mean GPR</x:v>
      </x:c>
      <x:c r="J5" s="25" t="str">
        <x:v>Joint FTA + depth model</x:v>
      </x:c>
      <x:c r="K5" s="25" t="str">
        <x:v>GPR × DTA depth</x:v>
      </x:c>
      <x:c r="L5" s="36" t="n">
        <x:v>0.00989861010716064</x:v>
      </x:c>
      <x:c r="M5" s="36" t="n">
        <x:v>0.994776339740211</x:v>
      </x:c>
      <x:c r="N5" s="36" t="str">
        <x:v>percent</x:v>
      </x:c>
      <x:c r="O5" s="36" t="n">
        <x:v>0.00775385034934244</x:v>
      </x:c>
      <x:c r="P5" s="36" t="n">
        <x:v>0.201741463248113</x:v>
      </x:c>
      <x:c r="Q5" s="36" t="str">
        <x:f>IF(P5&lt;0.01,"***",IF(P5&lt;0.05,"**",IF(P5&lt;0.1,"*","")))</x:f>
      </x:c>
      <x:c r="R5" s="36" t="n">
        <x:v>-0.528492197820885</x:v>
      </x:c>
      <x:c r="S5" s="36" t="n">
        <x:v>2.54137162773258</x:v>
      </x:c>
      <x:c r="T5" s="36"/>
      <x:c r="U5" s="25" t="str">
        <x:f>IF(T5="","",IF(T5&lt;0.01,"***",IF(T5&lt;0.05,"**",IF(T5&lt;0.1,"*",""))))</x:f>
      </x:c>
      <x:c r="V5" s="38" t="n">
        <x:v>16752356</x:v>
      </x:c>
      <x:c r="W5" s="25" t="str">
        <x:v>Pair–HS2; exporter–year; importer–year; HS2–year</x:v>
      </x:c>
      <x:c r="X5" s="25" t="str">
        <x:v>Unordered pair + year</x:v>
      </x:c>
      <x:c r="Y5" s="25" t="str">
        <x:v>Null</x:v>
      </x:c>
      <x:c r="Z5" s="25" t="str">
        <x:v>Conditional depth is positive but statistically imprecise in the full global trade-value panel.</x:v>
      </x:c>
      <x:c r="AA5" s="25" t="str">
        <x:v>outputs/tables/step10c_hs2_robustness_coefficients.csv</x:v>
      </x:c>
      <x:c r="AB5" s="25" t="str">
        <x:v>model="joint_fta_depth"; inference="pair_plus_year_cluster"; term="gpr_x_depth_strict_l1_10"</x:v>
      </x:c>
      <x:c r="AC5" s="25" t="str">
        <x:v>Main text</x:v>
      </x:c>
      <x:c r="AD5" s="25" t="str">
        <x:v>Not drafted</x:v>
      </x:c>
    </x:row>
    <x:row r="6">
      <x:c r="A6" s="25" t="str">
        <x:v>M05</x:v>
      </x:c>
      <x:c r="B6" s="25" t="str">
        <x:v>Main results</x:v>
      </x:c>
      <x:c r="C6" s="25" t="str">
        <x:v>Table 4 / Figure 3</x:v>
      </x:c>
      <x:c r="D6" s="25" t="str">
        <x:v>Core</x:v>
      </x:c>
      <x:c r="E6" s="25" t="str">
        <x:v>Sector heterogeneity</x:v>
      </x:c>
      <x:c r="F6" s="25" t="str">
        <x:v>Plastics, rubber and leather trade value</x:v>
      </x:c>
      <x:c r="G6" s="25" t="str">
        <x:v>Full global HS2 panel, sector subsample</x:v>
      </x:c>
      <x:c r="H6" s="25" t="str">
        <x:v>PPML</x:v>
      </x:c>
      <x:c r="I6" s="25" t="str">
        <x:v>Global mean GPR</x:v>
      </x:c>
      <x:c r="J6" s="25" t="str">
        <x:v>Plastics, rubber and leather: fta model</x:v>
      </x:c>
      <x:c r="K6" s="25" t="str">
        <x:v>GPR × FTA</x:v>
      </x:c>
      <x:c r="L6" s="36" t="n">
        <x:v>-0.0193758477882969</x:v>
      </x:c>
      <x:c r="M6" s="36" t="n">
        <x:v>-1.91893425576334</x:v>
      </x:c>
      <x:c r="N6" s="36" t="str">
        <x:v>percent</x:v>
      </x:c>
      <x:c r="O6" s="36" t="n">
        <x:v>0.00781243147461085</x:v>
      </x:c>
      <x:c r="P6" s="36" t="n">
        <x:v>0.0131334390096246</x:v>
      </x:c>
      <x:c r="Q6" s="36" t="str">
        <x:f>IF(P6&lt;0.01,"***",IF(P6&lt;0.05,"**",IF(P6&lt;0.1,"*","")))</x:f>
        <x:v>**</x:v>
      </x:c>
      <x:c r="R6" s="36" t="n">
        <x:v>-3.40934740500575</x:v>
      </x:c>
      <x:c r="S6" s="36" t="n">
        <x:v>-0.405523732595425</x:v>
      </x:c>
      <x:c r="T6" s="36" t="n">
        <x:v>0.0262668780192492</x:v>
      </x:c>
      <x:c r="U6" s="25" t="str">
        <x:f>IF(T6="","",IF(T6&lt;0.01,"***",IF(T6&lt;0.05,"**",IF(T6&lt;0.1,"*",""))))</x:f>
        <x:v>**</x:v>
      </x:c>
      <x:c r="V6" s="38" t="n">
        <x:v>947987</x:v>
      </x:c>
      <x:c r="W6" s="25" t="str">
        <x:v>Pair–HS2; exporter–year; importer–year; HS2–year</x:v>
      </x:c>
      <x:c r="X6" s="25" t="str">
        <x:v>Unordered pair + year</x:v>
      </x:c>
      <x:c r="Y6" s="25" t="str">
        <x:v>Robust after FDR</x:v>
      </x:c>
      <x:c r="Z6" s="25" t="str">
        <x:v>Negative sensitivity is concentrated in plastics, rubber and leather.</x:v>
      </x:c>
      <x:c r="AA6" s="25" t="str">
        <x:v>outputs/tables/step11_hs2_sector_coefficients.csv</x:v>
      </x:c>
      <x:c r="AB6" s="25" t="str">
        <x:v>sector_name="Plastics, rubber and leather"; model="fta"; inference="pair_plus_year_cluster"; term="gpr_x_fta_l1"</x:v>
      </x:c>
      <x:c r="AC6" s="25" t="str">
        <x:v>Main text</x:v>
      </x:c>
      <x:c r="AD6" s="25" t="str">
        <x:v>Not drafted</x:v>
      </x:c>
    </x:row>
    <x:row r="7">
      <x:c r="A7" s="25" t="str">
        <x:v>M06</x:v>
      </x:c>
      <x:c r="B7" s="25" t="str">
        <x:v>Main results</x:v>
      </x:c>
      <x:c r="C7" s="25" t="str">
        <x:v>Table 4 / Figure 3</x:v>
      </x:c>
      <x:c r="D7" s="25" t="str">
        <x:v>Core</x:v>
      </x:c>
      <x:c r="E7" s="25" t="str">
        <x:v>Sector heterogeneity</x:v>
      </x:c>
      <x:c r="F7" s="25" t="str">
        <x:v>Plastics, rubber and leather trade value</x:v>
      </x:c>
      <x:c r="G7" s="25" t="str">
        <x:v>Full global HS2 panel, sector subsample</x:v>
      </x:c>
      <x:c r="H7" s="25" t="str">
        <x:v>PPML</x:v>
      </x:c>
      <x:c r="I7" s="25" t="str">
        <x:v>Global mean GPR</x:v>
      </x:c>
      <x:c r="J7" s="25" t="str">
        <x:v>Plastics, rubber and leather: depth model</x:v>
      </x:c>
      <x:c r="K7" s="25" t="str">
        <x:v>GPR × DTA depth</x:v>
      </x:c>
      <x:c r="L7" s="36" t="n">
        <x:v>-0.0107776427178654</x:v>
      </x:c>
      <x:c r="M7" s="36" t="n">
        <x:v>-1.07197720164276</x:v>
      </x:c>
      <x:c r="N7" s="36" t="str">
        <x:v>percent</x:v>
      </x:c>
      <x:c r="O7" s="36" t="n">
        <x:v>0.00485599905884961</x:v>
      </x:c>
      <x:c r="P7" s="36" t="n">
        <x:v>0.0264561867428927</x:v>
      </x:c>
      <x:c r="Q7" s="36" t="str">
        <x:f>IF(P7&lt;0.01,"***",IF(P7&lt;0.05,"**",IF(P7&lt;0.1,"*","")))</x:f>
        <x:v>**</x:v>
      </x:c>
      <x:c r="R7" s="36" t="n">
        <x:v>-2.00908354745807</x:v>
      </x:c>
      <x:c r="S7" s="36" t="n">
        <x:v>-0.125909124116408</x:v>
      </x:c>
      <x:c r="T7" s="36" t="n">
        <x:v>0.0615139519541299</x:v>
      </x:c>
      <x:c r="U7" s="25" t="str">
        <x:f>IF(T7="","",IF(T7&lt;0.01,"***",IF(T7&lt;0.05,"**",IF(T7&lt;0.1,"*",""))))</x:f>
        <x:v>*</x:v>
      </x:c>
      <x:c r="V7" s="38" t="n">
        <x:v>947987</x:v>
      </x:c>
      <x:c r="W7" s="25" t="str">
        <x:v>Pair–HS2; exporter–year; importer–year; HS2–year</x:v>
      </x:c>
      <x:c r="X7" s="25" t="str">
        <x:v>Unordered pair + year</x:v>
      </x:c>
      <x:c r="Y7" s="25" t="str">
        <x:v>Robust after FDR</x:v>
      </x:c>
      <x:c r="Z7" s="25" t="str">
        <x:v>Negative sensitivity is concentrated in plastics, rubber and leather.</x:v>
      </x:c>
      <x:c r="AA7" s="25" t="str">
        <x:v>outputs/tables/step11_hs2_sector_coefficients.csv</x:v>
      </x:c>
      <x:c r="AB7" s="25" t="str">
        <x:v>sector_name="Plastics, rubber and leather"; model="depth"; inference="pair_plus_year_cluster"; term="gpr_x_depth_strict_l1_10"</x:v>
      </x:c>
      <x:c r="AC7" s="25" t="str">
        <x:v>Main text</x:v>
      </x:c>
      <x:c r="AD7" s="25" t="str">
        <x:v>Not drafted</x:v>
      </x:c>
    </x:row>
    <x:row r="8">
      <x:c r="A8" s="25" t="str">
        <x:v>M07</x:v>
      </x:c>
      <x:c r="B8" s="25" t="str">
        <x:v>Main results</x:v>
      </x:c>
      <x:c r="C8" s="25" t="str">
        <x:v>Table 4 / Figure 3</x:v>
      </x:c>
      <x:c r="D8" s="25" t="str">
        <x:v>Core</x:v>
      </x:c>
      <x:c r="E8" s="25" t="str">
        <x:v>Sector heterogeneity</x:v>
      </x:c>
      <x:c r="F8" s="25" t="str">
        <x:v>Textiles and footwear trade value</x:v>
      </x:c>
      <x:c r="G8" s="25" t="str">
        <x:v>Full global HS2 panel, sector subsample</x:v>
      </x:c>
      <x:c r="H8" s="25" t="str">
        <x:v>PPML</x:v>
      </x:c>
      <x:c r="I8" s="25" t="str">
        <x:v>Global mean GPR</x:v>
      </x:c>
      <x:c r="J8" s="25" t="str">
        <x:v>Textiles and footwear: fta model</x:v>
      </x:c>
      <x:c r="K8" s="25" t="str">
        <x:v>GPR × FTA</x:v>
      </x:c>
      <x:c r="L8" s="36" t="n">
        <x:v>-0.0446743316380921</x:v>
      </x:c>
      <x:c r="M8" s="36" t="n">
        <x:v>-4.36911293310095</x:v>
      </x:c>
      <x:c r="N8" s="36" t="str">
        <x:v>percent</x:v>
      </x:c>
      <x:c r="O8" s="36" t="n">
        <x:v>0.0123983122311878</x:v>
      </x:c>
      <x:c r="P8" s="36" t="n">
        <x:v>0.000314251968973688</x:v>
      </x:c>
      <x:c r="Q8" s="36" t="str">
        <x:f>IF(P8&lt;0.01,"***",IF(P8&lt;0.05,"**",IF(P8&lt;0.1,"*","")))</x:f>
        <x:v>***</x:v>
      </x:c>
      <x:c r="R8" s="36" t="n">
        <x:v>-6.66500085006615</x:v>
      </x:c>
      <x:c r="S8" s="36" t="n">
        <x:v>-2.01674993845563</x:v>
      </x:c>
      <x:c r="T8" s="36" t="n">
        <x:v>0.00314251968973688</x:v>
      </x:c>
      <x:c r="U8" s="25" t="str">
        <x:f>IF(T8="","",IF(T8&lt;0.01,"***",IF(T8&lt;0.05,"**",IF(T8&lt;0.1,"*",""))))</x:f>
        <x:v>***</x:v>
      </x:c>
      <x:c r="V8" s="38" t="n">
        <x:v>2522056</x:v>
      </x:c>
      <x:c r="W8" s="25" t="str">
        <x:v>Pair–HS2; exporter–year; importer–year; HS2–year</x:v>
      </x:c>
      <x:c r="X8" s="25" t="str">
        <x:v>Unordered pair + year</x:v>
      </x:c>
      <x:c r="Y8" s="25" t="str">
        <x:v>Robust after FDR</x:v>
      </x:c>
      <x:c r="Z8" s="25" t="str">
        <x:v>Negative sensitivity is concentrated in textiles and footwear.</x:v>
      </x:c>
      <x:c r="AA8" s="25" t="str">
        <x:v>outputs/tables/step11_hs2_sector_coefficients.csv</x:v>
      </x:c>
      <x:c r="AB8" s="25" t="str">
        <x:v>sector_name="Textiles and footwear"; model="fta"; inference="pair_plus_year_cluster"; term="gpr_x_fta_l1"</x:v>
      </x:c>
      <x:c r="AC8" s="25" t="str">
        <x:v>Main text</x:v>
      </x:c>
      <x:c r="AD8" s="25" t="str">
        <x:v>Not drafted</x:v>
      </x:c>
    </x:row>
    <x:row r="9">
      <x:c r="A9" s="25" t="str">
        <x:v>M08</x:v>
      </x:c>
      <x:c r="B9" s="25" t="str">
        <x:v>Main results</x:v>
      </x:c>
      <x:c r="C9" s="25" t="str">
        <x:v>Table 4 / Figure 3</x:v>
      </x:c>
      <x:c r="D9" s="25" t="str">
        <x:v>Core</x:v>
      </x:c>
      <x:c r="E9" s="25" t="str">
        <x:v>Sector heterogeneity</x:v>
      </x:c>
      <x:c r="F9" s="25" t="str">
        <x:v>Textiles and footwear trade value</x:v>
      </x:c>
      <x:c r="G9" s="25" t="str">
        <x:v>Full global HS2 panel, sector subsample</x:v>
      </x:c>
      <x:c r="H9" s="25" t="str">
        <x:v>PPML</x:v>
      </x:c>
      <x:c r="I9" s="25" t="str">
        <x:v>Global mean GPR</x:v>
      </x:c>
      <x:c r="J9" s="25" t="str">
        <x:v>Textiles and footwear: depth model</x:v>
      </x:c>
      <x:c r="K9" s="25" t="str">
        <x:v>GPR × DTA depth</x:v>
      </x:c>
      <x:c r="L9" s="36" t="n">
        <x:v>-0.0201016168894649</x:v>
      </x:c>
      <x:c r="M9" s="36" t="n">
        <x:v>-1.99009263728933</x:v>
      </x:c>
      <x:c r="N9" s="36" t="str">
        <x:v>percent</x:v>
      </x:c>
      <x:c r="O9" s="36" t="n">
        <x:v>0.00575057047651755</x:v>
      </x:c>
      <x:c r="P9" s="36" t="n">
        <x:v>0.000473020994520441</x:v>
      </x:c>
      <x:c r="Q9" s="36" t="str">
        <x:f>IF(P9&lt;0.01,"***",IF(P9&lt;0.05,"**",IF(P9&lt;0.1,"*","")))</x:f>
        <x:v>***</x:v>
      </x:c>
      <x:c r="R9" s="36" t="n">
        <x:v>-3.08857170874968</x:v>
      </x:c>
      <x:c r="S9" s="36" t="n">
        <x:v>-0.879162441212278</x:v>
      </x:c>
      <x:c r="T9" s="36" t="n">
        <x:v>0.00473020994520441</x:v>
      </x:c>
      <x:c r="U9" s="25" t="str">
        <x:f>IF(T9="","",IF(T9&lt;0.01,"***",IF(T9&lt;0.05,"**",IF(T9&lt;0.1,"*",""))))</x:f>
        <x:v>***</x:v>
      </x:c>
      <x:c r="V9" s="38" t="n">
        <x:v>2522056</x:v>
      </x:c>
      <x:c r="W9" s="25" t="str">
        <x:v>Pair–HS2; exporter–year; importer–year; HS2–year</x:v>
      </x:c>
      <x:c r="X9" s="25" t="str">
        <x:v>Unordered pair + year</x:v>
      </x:c>
      <x:c r="Y9" s="25" t="str">
        <x:v>Robust after FDR</x:v>
      </x:c>
      <x:c r="Z9" s="25" t="str">
        <x:v>Negative sensitivity is concentrated in textiles and footwear.</x:v>
      </x:c>
      <x:c r="AA9" s="25" t="str">
        <x:v>outputs/tables/step11_hs2_sector_coefficients.csv</x:v>
      </x:c>
      <x:c r="AB9" s="25" t="str">
        <x:v>sector_name="Textiles and footwear"; model="depth"; inference="pair_plus_year_cluster"; term="gpr_x_depth_strict_l1_10"</x:v>
      </x:c>
      <x:c r="AC9" s="25" t="str">
        <x:v>Main text</x:v>
      </x:c>
      <x:c r="AD9" s="25" t="str">
        <x:v>Not drafted</x:v>
      </x:c>
    </x:row>
    <x:row r="10">
      <x:c r="A10" s="25" t="str">
        <x:v>M09</x:v>
      </x:c>
      <x:c r="B10" s="25" t="str">
        <x:v>Main results</x:v>
      </x:c>
      <x:c r="C10" s="25" t="str">
        <x:v>Table 4 / Figure 3</x:v>
      </x:c>
      <x:c r="D10" s="25" t="str">
        <x:v>Core</x:v>
      </x:c>
      <x:c r="E10" s="25" t="str">
        <x:v>Sector heterogeneity</x:v>
      </x:c>
      <x:c r="F10" s="25" t="str">
        <x:v>Machinery and electronics trade value</x:v>
      </x:c>
      <x:c r="G10" s="25" t="str">
        <x:v>Full global HS2 panel, sector subsample</x:v>
      </x:c>
      <x:c r="H10" s="25" t="str">
        <x:v>PPML</x:v>
      </x:c>
      <x:c r="I10" s="25" t="str">
        <x:v>Global mean GPR</x:v>
      </x:c>
      <x:c r="J10" s="25" t="str">
        <x:v>Machinery and electronics: fta model</x:v>
      </x:c>
      <x:c r="K10" s="25" t="str">
        <x:v>GPR × FTA</x:v>
      </x:c>
      <x:c r="L10" s="36" t="n">
        <x:v>-0.0349338743232524</x:v>
      </x:c>
      <x:c r="M10" s="36" t="n">
        <x:v>-3.43307303196602</x:v>
      </x:c>
      <x:c r="N10" s="36" t="str">
        <x:v>percent</x:v>
      </x:c>
      <x:c r="O10" s="36" t="n">
        <x:v>0.0131192438453622</x:v>
      </x:c>
      <x:c r="P10" s="36" t="n">
        <x:v>0.00774943037631349</x:v>
      </x:c>
      <x:c r="Q10" s="36" t="str">
        <x:f>IF(P10&lt;0.01,"***",IF(P10&lt;0.05,"**",IF(P10&lt;0.1,"*","")))</x:f>
        <x:v>***</x:v>
      </x:c>
      <x:c r="R10" s="36" t="n">
        <x:v>-5.88451484046202</x:v>
      </x:c>
      <x:c r="S10" s="36" t="n">
        <x:v>-0.917778108010281</x:v>
      </x:c>
      <x:c r="T10" s="36" t="n">
        <x:v>0.0262668780192492</x:v>
      </x:c>
      <x:c r="U10" s="25" t="str">
        <x:f>IF(T10="","",IF(T10&lt;0.01,"***",IF(T10&lt;0.05,"**",IF(T10&lt;0.1,"*",""))))</x:f>
        <x:v>**</x:v>
      </x:c>
      <x:c r="V10" s="38" t="n">
        <x:v>723655</x:v>
      </x:c>
      <x:c r="W10" s="25" t="str">
        <x:v>Pair–HS2; exporter–year; importer–year; HS2–year</x:v>
      </x:c>
      <x:c r="X10" s="25" t="str">
        <x:v>Unordered pair + year</x:v>
      </x:c>
      <x:c r="Y10" s="25" t="str">
        <x:v>Robust after FDR</x:v>
      </x:c>
      <x:c r="Z10" s="25" t="str">
        <x:v>Negative sensitivity is concentrated in machinery and electronics.</x:v>
      </x:c>
      <x:c r="AA10" s="25" t="str">
        <x:v>outputs/tables/step11_hs2_sector_coefficients.csv</x:v>
      </x:c>
      <x:c r="AB10" s="25" t="str">
        <x:v>sector_name="Machinery and electronics"; model="fta"; inference="pair_plus_year_cluster"; term="gpr_x_fta_l1"</x:v>
      </x:c>
      <x:c r="AC10" s="25" t="str">
        <x:v>Main text</x:v>
      </x:c>
      <x:c r="AD10" s="25" t="str">
        <x:v>Not drafted</x:v>
      </x:c>
    </x:row>
    <x:row r="11">
      <x:c r="A11" s="25" t="str">
        <x:v>M10</x:v>
      </x:c>
      <x:c r="B11" s="25" t="str">
        <x:v>Main results</x:v>
      </x:c>
      <x:c r="C11" s="25" t="str">
        <x:v>Table 4 / Figure 3</x:v>
      </x:c>
      <x:c r="D11" s="25" t="str">
        <x:v>Core</x:v>
      </x:c>
      <x:c r="E11" s="25" t="str">
        <x:v>Sector heterogeneity</x:v>
      </x:c>
      <x:c r="F11" s="25" t="str">
        <x:v>Machinery and electronics trade value</x:v>
      </x:c>
      <x:c r="G11" s="25" t="str">
        <x:v>Full global HS2 panel, sector subsample</x:v>
      </x:c>
      <x:c r="H11" s="25" t="str">
        <x:v>PPML</x:v>
      </x:c>
      <x:c r="I11" s="25" t="str">
        <x:v>Global mean GPR</x:v>
      </x:c>
      <x:c r="J11" s="25" t="str">
        <x:v>Machinery and electronics: depth model</x:v>
      </x:c>
      <x:c r="K11" s="25" t="str">
        <x:v>GPR × DTA depth</x:v>
      </x:c>
      <x:c r="L11" s="36" t="n">
        <x:v>-0.0135360383930837</x:v>
      </x:c>
      <x:c r="M11" s="36" t="n">
        <x:v>-1.34448381856473</x:v>
      </x:c>
      <x:c r="N11" s="36" t="str">
        <x:v>percent</x:v>
      </x:c>
      <x:c r="O11" s="36" t="n">
        <x:v>0.00678108257880978</x:v>
      </x:c>
      <x:c r="P11" s="36" t="n">
        <x:v>0.0459179124507542</x:v>
      </x:c>
      <x:c r="Q11" s="36" t="str">
        <x:f>IF(P11&lt;0.01,"***",IF(P11&lt;0.05,"**",IF(P11&lt;0.1,"*","")))</x:f>
        <x:v>**</x:v>
      </x:c>
      <x:c r="R11" s="36" t="n">
        <x:v>-2.64703137139867</x:v>
      </x:c>
      <x:c r="S11" s="36" t="n">
        <x:v>-0.0245086500012204</x:v>
      </x:c>
      <x:c r="T11" s="36" t="n">
        <x:v>0.0765298540845903</x:v>
      </x:c>
      <x:c r="U11" s="25" t="str">
        <x:f>IF(T11="","",IF(T11&lt;0.01,"***",IF(T11&lt;0.05,"**",IF(T11&lt;0.1,"*",""))))</x:f>
        <x:v>*</x:v>
      </x:c>
      <x:c r="V11" s="38" t="n">
        <x:v>723655</x:v>
      </x:c>
      <x:c r="W11" s="25" t="str">
        <x:v>Pair–HS2; exporter–year; importer–year; HS2–year</x:v>
      </x:c>
      <x:c r="X11" s="25" t="str">
        <x:v>Unordered pair + year</x:v>
      </x:c>
      <x:c r="Y11" s="25" t="str">
        <x:v>Robust after FDR</x:v>
      </x:c>
      <x:c r="Z11" s="25" t="str">
        <x:v>Negative sensitivity is concentrated in machinery and electronics.</x:v>
      </x:c>
      <x:c r="AA11" s="25" t="str">
        <x:v>outputs/tables/step11_hs2_sector_coefficients.csv</x:v>
      </x:c>
      <x:c r="AB11" s="25" t="str">
        <x:v>sector_name="Machinery and electronics"; model="depth"; inference="pair_plus_year_cluster"; term="gpr_x_depth_strict_l1_10"</x:v>
      </x:c>
      <x:c r="AC11" s="25" t="str">
        <x:v>Main text</x:v>
      </x:c>
      <x:c r="AD11" s="25" t="str">
        <x:v>Not drafted</x:v>
      </x:c>
    </x:row>
    <x:row r="12">
      <x:c r="A12" s="25" t="str">
        <x:v>M11</x:v>
      </x:c>
      <x:c r="B12" s="25" t="str">
        <x:v>Main results</x:v>
      </x:c>
      <x:c r="C12" s="25" t="str">
        <x:v>Table 4 / Figure 3</x:v>
      </x:c>
      <x:c r="D12" s="25" t="str">
        <x:v>Core</x:v>
      </x:c>
      <x:c r="E12" s="25" t="str">
        <x:v>Sector heterogeneity</x:v>
      </x:c>
      <x:c r="F12" s="25" t="str">
        <x:v>Transport equipment trade value</x:v>
      </x:c>
      <x:c r="G12" s="25" t="str">
        <x:v>Full global HS2 panel, sector subsample</x:v>
      </x:c>
      <x:c r="H12" s="25" t="str">
        <x:v>PPML</x:v>
      </x:c>
      <x:c r="I12" s="25" t="str">
        <x:v>Global mean GPR</x:v>
      </x:c>
      <x:c r="J12" s="25" t="str">
        <x:v>Transport equipment: fta model</x:v>
      </x:c>
      <x:c r="K12" s="25" t="str">
        <x:v>GPR × FTA</x:v>
      </x:c>
      <x:c r="L12" s="36" t="n">
        <x:v>-0.0474456908955848</x:v>
      </x:c>
      <x:c r="M12" s="36" t="n">
        <x:v>-4.63377357302645</x:v>
      </x:c>
      <x:c r="N12" s="36" t="str">
        <x:v>percent</x:v>
      </x:c>
      <x:c r="O12" s="36" t="n">
        <x:v>0.0188115771537983</x:v>
      </x:c>
      <x:c r="P12" s="36" t="n">
        <x:v>0.01166386971536</x:v>
      </x:c>
      <x:c r="Q12" s="36" t="str">
        <x:f>IF(P12&lt;0.01,"***",IF(P12&lt;0.05,"**",IF(P12&lt;0.1,"*","")))</x:f>
        <x:v>**</x:v>
      </x:c>
      <x:c r="R12" s="36" t="n">
        <x:v>-8.08595895005431</x:v>
      </x:c>
      <x:c r="S12" s="36" t="n">
        <x:v>-1.05192809465576</x:v>
      </x:c>
      <x:c r="T12" s="36" t="n">
        <x:v>0.0262668780192492</x:v>
      </x:c>
      <x:c r="U12" s="25" t="str">
        <x:f>IF(T12="","",IF(T12&lt;0.01,"***",IF(T12&lt;0.05,"**",IF(T12&lt;0.1,"*",""))))</x:f>
        <x:v>**</x:v>
      </x:c>
      <x:c r="V12" s="38" t="n">
        <x:v>669321</x:v>
      </x:c>
      <x:c r="W12" s="25" t="str">
        <x:v>Pair–HS2; exporter–year; importer–year; HS2–year</x:v>
      </x:c>
      <x:c r="X12" s="25" t="str">
        <x:v>Unordered pair + year</x:v>
      </x:c>
      <x:c r="Y12" s="25" t="str">
        <x:v>Robust after FDR</x:v>
      </x:c>
      <x:c r="Z12" s="25" t="str">
        <x:v>Negative sensitivity is concentrated in transport equipment.</x:v>
      </x:c>
      <x:c r="AA12" s="25" t="str">
        <x:v>outputs/tables/step11_hs2_sector_coefficients.csv</x:v>
      </x:c>
      <x:c r="AB12" s="25" t="str">
        <x:v>sector_name="Transport equipment"; model="fta"; inference="pair_plus_year_cluster"; term="gpr_x_fta_l1"</x:v>
      </x:c>
      <x:c r="AC12" s="25" t="str">
        <x:v>Main text</x:v>
      </x:c>
      <x:c r="AD12" s="25" t="str">
        <x:v>Not drafted</x:v>
      </x:c>
    </x:row>
    <x:row r="13">
      <x:c r="A13" s="25" t="str">
        <x:v>M12</x:v>
      </x:c>
      <x:c r="B13" s="25" t="str">
        <x:v>Main results</x:v>
      </x:c>
      <x:c r="C13" s="25" t="str">
        <x:v>Table 4 / Figure 3</x:v>
      </x:c>
      <x:c r="D13" s="25" t="str">
        <x:v>Core</x:v>
      </x:c>
      <x:c r="E13" s="25" t="str">
        <x:v>Sector heterogeneity</x:v>
      </x:c>
      <x:c r="F13" s="25" t="str">
        <x:v>Transport equipment trade value</x:v>
      </x:c>
      <x:c r="G13" s="25" t="str">
        <x:v>Full global HS2 panel, sector subsample</x:v>
      </x:c>
      <x:c r="H13" s="25" t="str">
        <x:v>PPML</x:v>
      </x:c>
      <x:c r="I13" s="25" t="str">
        <x:v>Global mean GPR</x:v>
      </x:c>
      <x:c r="J13" s="25" t="str">
        <x:v>Transport equipment: depth model</x:v>
      </x:c>
      <x:c r="K13" s="25" t="str">
        <x:v>GPR × DTA depth</x:v>
      </x:c>
      <x:c r="L13" s="36" t="n">
        <x:v>-0.0184445319940685</x:v>
      </x:c>
      <x:c r="M13" s="36" t="n">
        <x:v>-1.82754726165084</x:v>
      </x:c>
      <x:c r="N13" s="36" t="str">
        <x:v>percent</x:v>
      </x:c>
      <x:c r="O13" s="36" t="n">
        <x:v>0.00853833365405563</x:v>
      </x:c>
      <x:c r="P13" s="36" t="n">
        <x:v>0.030756975977065</x:v>
      </x:c>
      <x:c r="Q13" s="36" t="str">
        <x:f>IF(P13&lt;0.01,"***",IF(P13&lt;0.05,"**",IF(P13&lt;0.1,"*","")))</x:f>
        <x:v>**</x:v>
      </x:c>
      <x:c r="R13" s="36" t="n">
        <x:v>-3.45680545788127</x:v>
      </x:c>
      <x:c r="S13" s="36" t="n">
        <x:v>-0.170793784343648</x:v>
      </x:c>
      <x:c r="T13" s="36" t="n">
        <x:v>0.0615139519541299</x:v>
      </x:c>
      <x:c r="U13" s="25" t="str">
        <x:f>IF(T13="","",IF(T13&lt;0.01,"***",IF(T13&lt;0.05,"**",IF(T13&lt;0.1,"*",""))))</x:f>
        <x:v>*</x:v>
      </x:c>
      <x:c r="V13" s="38" t="n">
        <x:v>669321</x:v>
      </x:c>
      <x:c r="W13" s="25" t="str">
        <x:v>Pair–HS2; exporter–year; importer–year; HS2–year</x:v>
      </x:c>
      <x:c r="X13" s="25" t="str">
        <x:v>Unordered pair + year</x:v>
      </x:c>
      <x:c r="Y13" s="25" t="str">
        <x:v>Robust after FDR</x:v>
      </x:c>
      <x:c r="Z13" s="25" t="str">
        <x:v>Negative sensitivity is concentrated in transport equipment.</x:v>
      </x:c>
      <x:c r="AA13" s="25" t="str">
        <x:v>outputs/tables/step11_hs2_sector_coefficients.csv</x:v>
      </x:c>
      <x:c r="AB13" s="25" t="str">
        <x:v>sector_name="Transport equipment"; model="depth"; inference="pair_plus_year_cluster"; term="gpr_x_depth_strict_l1_10"</x:v>
      </x:c>
      <x:c r="AC13" s="25" t="str">
        <x:v>Main text</x:v>
      </x:c>
      <x:c r="AD13" s="25" t="str">
        <x:v>Not drafted</x:v>
      </x:c>
    </x:row>
    <x:row r="14">
      <x:c r="A14" s="25" t="str">
        <x:v>M13</x:v>
      </x:c>
      <x:c r="B14" s="25" t="str">
        <x:v>Main results</x:v>
      </x:c>
      <x:c r="C14" s="25" t="str">
        <x:v>Table 4 / Figure 3</x:v>
      </x:c>
      <x:c r="D14" s="25" t="str">
        <x:v>Core</x:v>
      </x:c>
      <x:c r="E14" s="25" t="str">
        <x:v>Sector heterogeneity</x:v>
      </x:c>
      <x:c r="F14" s="25" t="str">
        <x:v>Precision and other manufactures trade value</x:v>
      </x:c>
      <x:c r="G14" s="25" t="str">
        <x:v>Full global HS2 panel, sector subsample</x:v>
      </x:c>
      <x:c r="H14" s="25" t="str">
        <x:v>PPML</x:v>
      </x:c>
      <x:c r="I14" s="25" t="str">
        <x:v>Global mean GPR</x:v>
      </x:c>
      <x:c r="J14" s="25" t="str">
        <x:v>Precision and other manufactures: fta model</x:v>
      </x:c>
      <x:c r="K14" s="25" t="str">
        <x:v>GPR × FTA</x:v>
      </x:c>
      <x:c r="L14" s="36" t="n">
        <x:v>-0.0320489020465632</x:v>
      </x:c>
      <x:c r="M14" s="36" t="n">
        <x:v>-3.15407787167467</x:v>
      </x:c>
      <x:c r="N14" s="36" t="str">
        <x:v>percent</x:v>
      </x:c>
      <x:c r="O14" s="36" t="n">
        <x:v>0.0122530821526043</x:v>
      </x:c>
      <x:c r="P14" s="36" t="n">
        <x:v>0.00890763617651551</x:v>
      </x:c>
      <x:c r="Q14" s="36" t="str">
        <x:f>IF(P14&lt;0.01,"***",IF(P14&lt;0.05,"**",IF(P14&lt;0.1,"*","")))</x:f>
        <x:v>***</x:v>
      </x:c>
      <x:c r="R14" s="36" t="n">
        <x:v>-5.45222683258866</x:v>
      </x:c>
      <x:c r="S14" s="36" t="n">
        <x:v>-0.800068381531727</x:v>
      </x:c>
      <x:c r="T14" s="36" t="n">
        <x:v>0.0262668780192492</x:v>
      </x:c>
      <x:c r="U14" s="25" t="str">
        <x:f>IF(T14="","",IF(T14&lt;0.01,"***",IF(T14&lt;0.05,"**",IF(T14&lt;0.1,"*",""))))</x:f>
        <x:v>**</x:v>
      </x:c>
      <x:c r="V14" s="38" t="n">
        <x:v>1171921</x:v>
      </x:c>
      <x:c r="W14" s="25" t="str">
        <x:v>Pair–HS2; exporter–year; importer–year; HS2–year</x:v>
      </x:c>
      <x:c r="X14" s="25" t="str">
        <x:v>Unordered pair + year</x:v>
      </x:c>
      <x:c r="Y14" s="25" t="str">
        <x:v>Robust after FDR</x:v>
      </x:c>
      <x:c r="Z14" s="25" t="str">
        <x:v>Negative sensitivity is concentrated in precision and other manufactures.</x:v>
      </x:c>
      <x:c r="AA14" s="25" t="str">
        <x:v>outputs/tables/step11_hs2_sector_coefficients.csv</x:v>
      </x:c>
      <x:c r="AB14" s="25" t="str">
        <x:v>sector_name="Precision and other manufactures"; model="fta"; inference="pair_plus_year_cluster"; term="gpr_x_fta_l1"</x:v>
      </x:c>
      <x:c r="AC14" s="25" t="str">
        <x:v>Main text</x:v>
      </x:c>
      <x:c r="AD14" s="25" t="str">
        <x:v>Not drafted</x:v>
      </x:c>
    </x:row>
    <x:row r="15">
      <x:c r="A15" s="25" t="str">
        <x:v>M14</x:v>
      </x:c>
      <x:c r="B15" s="25" t="str">
        <x:v>Main results</x:v>
      </x:c>
      <x:c r="C15" s="25" t="str">
        <x:v>Table 4 / Figure 3</x:v>
      </x:c>
      <x:c r="D15" s="25" t="str">
        <x:v>Core</x:v>
      </x:c>
      <x:c r="E15" s="25" t="str">
        <x:v>Sector heterogeneity</x:v>
      </x:c>
      <x:c r="F15" s="25" t="str">
        <x:v>Precision and other manufactures trade value</x:v>
      </x:c>
      <x:c r="G15" s="25" t="str">
        <x:v>Full global HS2 panel, sector subsample</x:v>
      </x:c>
      <x:c r="H15" s="25" t="str">
        <x:v>PPML</x:v>
      </x:c>
      <x:c r="I15" s="25" t="str">
        <x:v>Global mean GPR</x:v>
      </x:c>
      <x:c r="J15" s="25" t="str">
        <x:v>Precision and other manufactures: depth model</x:v>
      </x:c>
      <x:c r="K15" s="25" t="str">
        <x:v>GPR × DTA depth</x:v>
      </x:c>
      <x:c r="L15" s="36" t="n">
        <x:v>-0.0173006428003102</x:v>
      </x:c>
      <x:c r="M15" s="36" t="n">
        <x:v>-1.71518460087402</x:v>
      </x:c>
      <x:c r="N15" s="36" t="str">
        <x:v>percent</x:v>
      </x:c>
      <x:c r="O15" s="36" t="n">
        <x:v>0.00534668491390013</x:v>
      </x:c>
      <x:c r="P15" s="36" t="n">
        <x:v>0.00121315079617596</x:v>
      </x:c>
      <x:c r="Q15" s="36" t="str">
        <x:f>IF(P15&lt;0.01,"***",IF(P15&lt;0.05,"**",IF(P15&lt;0.1,"*","")))</x:f>
        <x:v>***</x:v>
      </x:c>
      <x:c r="R15" s="36" t="n">
        <x:v>-2.73978254770686</x:v>
      </x:c>
      <x:c r="S15" s="36" t="n">
        <x:v>-0.679792919663924</x:v>
      </x:c>
      <x:c r="T15" s="36" t="n">
        <x:v>0.00606575398087978</x:v>
      </x:c>
      <x:c r="U15" s="25" t="str">
        <x:f>IF(T15="","",IF(T15&lt;0.01,"***",IF(T15&lt;0.05,"**",IF(T15&lt;0.1,"*",""))))</x:f>
        <x:v>***</x:v>
      </x:c>
      <x:c r="V15" s="38" t="n">
        <x:v>1171921</x:v>
      </x:c>
      <x:c r="W15" s="25" t="str">
        <x:v>Pair–HS2; exporter–year; importer–year; HS2–year</x:v>
      </x:c>
      <x:c r="X15" s="25" t="str">
        <x:v>Unordered pair + year</x:v>
      </x:c>
      <x:c r="Y15" s="25" t="str">
        <x:v>Robust after FDR</x:v>
      </x:c>
      <x:c r="Z15" s="25" t="str">
        <x:v>Negative sensitivity is concentrated in precision and other manufactures.</x:v>
      </x:c>
      <x:c r="AA15" s="25" t="str">
        <x:v>outputs/tables/step11_hs2_sector_coefficients.csv</x:v>
      </x:c>
      <x:c r="AB15" s="25" t="str">
        <x:v>sector_name="Precision and other manufactures"; model="depth"; inference="pair_plus_year_cluster"; term="gpr_x_depth_strict_l1_10"</x:v>
      </x:c>
      <x:c r="AC15" s="25" t="str">
        <x:v>Main text</x:v>
      </x:c>
      <x:c r="AD15" s="25" t="str">
        <x:v>Not drafted</x:v>
      </x:c>
    </x:row>
    <x:row r="16">
      <x:c r="A16" s="25" t="str">
        <x:v>M15</x:v>
      </x:c>
      <x:c r="B16" s="25" t="str">
        <x:v>Main results</x:v>
      </x:c>
      <x:c r="C16" s="25" t="str">
        <x:v>Table 5</x:v>
      </x:c>
      <x:c r="D16" s="25" t="str">
        <x:v>Core</x:v>
      </x:c>
      <x:c r="E16" s="25" t="str">
        <x:v>Trade-link survival</x:v>
      </x:c>
      <x:c r="F16" s="25" t="str">
        <x:v>Pair–HS2 link survival</x:v>
      </x:c>
      <x:c r="G16" s="25" t="str">
        <x:v>At-risk links, 2008–2023</x:v>
      </x:c>
      <x:c r="H16" s="25" t="str">
        <x:v>LPM</x:v>
      </x:c>
      <x:c r="I16" s="25" t="str">
        <x:v>Global mean GPR</x:v>
      </x:c>
      <x:c r="J16" s="25" t="str">
        <x:v>Joint, size-adjusted survival model</x:v>
      </x:c>
      <x:c r="K16" s="25" t="str">
        <x:v>GPR × FTA</x:v>
      </x:c>
      <x:c r="L16" s="36" t="n">
        <x:v>0.00281599005303286</x:v>
      </x:c>
      <x:c r="M16" s="36" t="n">
        <x:v>0.281599005303286</x:v>
      </x:c>
      <x:c r="N16" s="36" t="str">
        <x:v>percentage points</x:v>
      </x:c>
      <x:c r="O16" s="36" t="n">
        <x:v>0.00153446247602892</x:v>
      </x:c>
      <x:c r="P16" s="36" t="n">
        <x:v>0.0863879602059135</x:v>
      </x:c>
      <x:c r="Q16" s="36" t="str">
        <x:f>IF(P16&lt;0.01,"***",IF(P16&lt;0.05,"**",IF(P16&lt;0.1,"*","")))</x:f>
        <x:v>*</x:v>
      </x:c>
      <x:c r="R16" s="36" t="n">
        <x:v>-0.0191556399983826</x:v>
      </x:c>
      <x:c r="S16" s="36" t="n">
        <x:v>0.582353650604955</x:v>
      </x:c>
      <x:c r="T16" s="36"/>
      <x:c r="U16" s="25" t="str">
        <x:f>IF(T16="","",IF(T16&lt;0.01,"***",IF(T16&lt;0.05,"**",IF(T16&lt;0.1,"*",""))))</x:f>
      </x:c>
      <x:c r="V16" s="38" t="n">
        <x:v>8045131</x:v>
      </x:c>
      <x:c r="W16" s="25" t="str">
        <x:v>Pair–HS2; exporter–year; importer–year; HS2–year</x:v>
      </x:c>
      <x:c r="X16" s="25" t="str">
        <x:v>Unordered pair + year</x:v>
      </x:c>
      <x:c r="Y16" s="25" t="str">
        <x:v>Supportive</x:v>
      </x:c>
      <x:c r="Z16" s="25" t="str">
        <x:v>FTA membership has a small positive conditional coefficient, but precision is weaker.</x:v>
      </x:c>
      <x:c r="AA16" s="25" t="str">
        <x:v>outputs/tables/step13c_survival_robustness_coefficients.csv</x:v>
      </x:c>
      <x:c r="AB16" s="25" t="str">
        <x:v>model="joint_mean_gpr"; sample="full_2008_2023"; inference="pair_plus_year_cluster"; term="shock_x_fta"</x:v>
      </x:c>
      <x:c r="AC16" s="25" t="str">
        <x:v>Main text</x:v>
      </x:c>
      <x:c r="AD16" s="25" t="str">
        <x:v>Not drafted</x:v>
      </x:c>
    </x:row>
    <x:row r="17">
      <x:c r="A17" s="25" t="str">
        <x:v>M16</x:v>
      </x:c>
      <x:c r="B17" s="25" t="str">
        <x:v>Main results</x:v>
      </x:c>
      <x:c r="C17" s="25" t="str">
        <x:v>Table 5</x:v>
      </x:c>
      <x:c r="D17" s="25" t="str">
        <x:v>Core</x:v>
      </x:c>
      <x:c r="E17" s="25" t="str">
        <x:v>Trade-link survival</x:v>
      </x:c>
      <x:c r="F17" s="25" t="str">
        <x:v>Pair–HS2 link survival</x:v>
      </x:c>
      <x:c r="G17" s="25" t="str">
        <x:v>At-risk links, 2008–2023</x:v>
      </x:c>
      <x:c r="H17" s="25" t="str">
        <x:v>LPM</x:v>
      </x:c>
      <x:c r="I17" s="25" t="str">
        <x:v>Global mean GPR</x:v>
      </x:c>
      <x:c r="J17" s="25" t="str">
        <x:v>Joint, size-adjusted survival model</x:v>
      </x:c>
      <x:c r="K17" s="25" t="str">
        <x:v>GPR × DTA depth</x:v>
      </x:c>
      <x:c r="L17" s="36" t="n">
        <x:v>-0.00523476333087204</x:v>
      </x:c>
      <x:c r="M17" s="36" t="n">
        <x:v>-0.523476333087204</x:v>
      </x:c>
      <x:c r="N17" s="36" t="str">
        <x:v>percentage points</x:v>
      </x:c>
      <x:c r="O17" s="36" t="n">
        <x:v>0.00168413530871193</x:v>
      </x:c>
      <x:c r="P17" s="36" t="n">
        <x:v>0.00719450598293632</x:v>
      </x:c>
      <x:c r="Q17" s="36" t="str">
        <x:f>IF(P17&lt;0.01,"***",IF(P17&lt;0.05,"**",IF(P17&lt;0.1,"*","")))</x:f>
        <x:v>***</x:v>
      </x:c>
      <x:c r="R17" s="36" t="n">
        <x:v>-0.853566853594742</x:v>
      </x:c>
      <x:c r="S17" s="36" t="n">
        <x:v>-0.193385812579666</x:v>
      </x:c>
      <x:c r="T17" s="36"/>
      <x:c r="U17" s="25" t="str">
        <x:f>IF(T17="","",IF(T17&lt;0.01,"***",IF(T17&lt;0.05,"**",IF(T17&lt;0.1,"*",""))))</x:f>
      </x:c>
      <x:c r="V17" s="38" t="n">
        <x:v>8045131</x:v>
      </x:c>
      <x:c r="W17" s="25" t="str">
        <x:v>Pair–HS2; exporter–year; importer–year; HS2–year</x:v>
      </x:c>
      <x:c r="X17" s="25" t="str">
        <x:v>Unordered pair + year</x:v>
      </x:c>
      <x:c r="Y17" s="25" t="str">
        <x:v>Robust</x:v>
      </x:c>
      <x:c r="Z17" s="25" t="str">
        <x:v>Ten additional enforceable provisions are associated with lower link-survival probability.</x:v>
      </x:c>
      <x:c r="AA17" s="25" t="str">
        <x:v>outputs/tables/step13c_survival_robustness_coefficients.csv</x:v>
      </x:c>
      <x:c r="AB17" s="25" t="str">
        <x:v>model="joint_mean_gpr"; sample="full_2008_2023"; inference="pair_plus_year_cluster"; term="shock_x_depth"</x:v>
      </x:c>
      <x:c r="AC17" s="25" t="str">
        <x:v>Main text</x:v>
      </x:c>
      <x:c r="AD17" s="25" t="str">
        <x:v>Not drafted</x:v>
      </x:c>
    </x:row>
    <x:row r="18">
      <x:c r="A18" s="25" t="str">
        <x:v>M17</x:v>
      </x:c>
      <x:c r="B18" s="25" t="str">
        <x:v>Robustness</x:v>
      </x:c>
      <x:c r="C18" s="25" t="str">
        <x:v>Table 6 / Appendix</x:v>
      </x:c>
      <x:c r="D18" s="25" t="str">
        <x:v>Secondary</x:v>
      </x:c>
      <x:c r="E18" s="25" t="str">
        <x:v>Alternative GPR</x:v>
      </x:c>
      <x:c r="F18" s="25" t="str">
        <x:v>Pair–HS2 link survival</x:v>
      </x:c>
      <x:c r="G18" s="25" t="str">
        <x:v>At-risk links, 2008–2023</x:v>
      </x:c>
      <x:c r="H18" s="25" t="str">
        <x:v>LPM</x:v>
      </x:c>
      <x:c r="I18" s="25" t="str">
        <x:v>Log mean GPR</x:v>
      </x:c>
      <x:c r="J18" s="25" t="str">
        <x:v>Joint, size-adjusted survival model</x:v>
      </x:c>
      <x:c r="K18" s="25" t="str">
        <x:v>Shock × DTA depth</x:v>
      </x:c>
      <x:c r="L18" s="36" t="n">
        <x:v>-0.00528098477987437</x:v>
      </x:c>
      <x:c r="M18" s="36" t="n">
        <x:v>-0.528098477987437</x:v>
      </x:c>
      <x:c r="N18" s="36" t="str">
        <x:v>percentage points</x:v>
      </x:c>
      <x:c r="O18" s="36" t="n">
        <x:v>0.00172702990286439</x:v>
      </x:c>
      <x:c r="P18" s="36" t="n">
        <x:v>0.00797486563502606</x:v>
      </x:c>
      <x:c r="Q18" s="36" t="str">
        <x:f>IF(P18&lt;0.01,"***",IF(P18&lt;0.05,"**",IF(P18&lt;0.1,"*","")))</x:f>
        <x:v>***</x:v>
      </x:c>
      <x:c r="R18" s="36" t="n">
        <x:v>-0.866596338948858</x:v>
      </x:c>
      <x:c r="S18" s="36" t="n">
        <x:v>-0.189600617026016</x:v>
      </x:c>
      <x:c r="T18" s="36"/>
      <x:c r="U18" s="25" t="str">
        <x:f>IF(T18="","",IF(T18&lt;0.01,"***",IF(T18&lt;0.05,"**",IF(T18&lt;0.1,"*",""))))</x:f>
      </x:c>
      <x:c r="V18" s="38" t="n">
        <x:v>8045131</x:v>
      </x:c>
      <x:c r="W18" s="25" t="str">
        <x:v>Pair–HS2; exporter–year; importer–year; HS2–year</x:v>
      </x:c>
      <x:c r="X18" s="25" t="str">
        <x:v>Unordered pair + year</x:v>
      </x:c>
      <x:c r="Y18" s="25" t="str">
        <x:v>Robust</x:v>
      </x:c>
      <x:c r="Z18" s="25" t="str">
        <x:v>Depth-survival sign under log mean gpr.</x:v>
      </x:c>
      <x:c r="AA18" s="25" t="str">
        <x:v>outputs/tables/step13c_survival_robustness_coefficients.csv</x:v>
      </x:c>
      <x:c r="AB18" s="25" t="str">
        <x:v>model="joint_log_mean_gpr"; shock="log_mean_gpr"; inference="pair_plus_year_cluster"; term="shock_x_depth"</x:v>
      </x:c>
      <x:c r="AC18" s="25" t="str">
        <x:v>Appendix</x:v>
      </x:c>
      <x:c r="AD18" s="25" t="str">
        <x:v>Not drafted</x:v>
      </x:c>
    </x:row>
    <x:row r="19">
      <x:c r="A19" s="25" t="str">
        <x:v>M18</x:v>
      </x:c>
      <x:c r="B19" s="25" t="str">
        <x:v>Robustness</x:v>
      </x:c>
      <x:c r="C19" s="25" t="str">
        <x:v>Table 6 / Appendix</x:v>
      </x:c>
      <x:c r="D19" s="25" t="str">
        <x:v>Secondary</x:v>
      </x:c>
      <x:c r="E19" s="25" t="str">
        <x:v>Alternative GPR</x:v>
      </x:c>
      <x:c r="F19" s="25" t="str">
        <x:v>Pair–HS2 link survival</x:v>
      </x:c>
      <x:c r="G19" s="25" t="str">
        <x:v>At-risk links, 2008–2023</x:v>
      </x:c>
      <x:c r="H19" s="25" t="str">
        <x:v>LPM</x:v>
      </x:c>
      <x:c r="I19" s="25" t="str">
        <x:v>GPR threats</x:v>
      </x:c>
      <x:c r="J19" s="25" t="str">
        <x:v>Joint, size-adjusted survival model</x:v>
      </x:c>
      <x:c r="K19" s="25" t="str">
        <x:v>Shock × DTA depth</x:v>
      </x:c>
      <x:c r="L19" s="36" t="n">
        <x:v>-0.00344212876150831</x:v>
      </x:c>
      <x:c r="M19" s="36" t="n">
        <x:v>-0.344212876150831</x:v>
      </x:c>
      <x:c r="N19" s="36" t="str">
        <x:v>percentage points</x:v>
      </x:c>
      <x:c r="O19" s="36" t="n">
        <x:v>0.000921468798331123</x:v>
      </x:c>
      <x:c r="P19" s="36" t="n">
        <x:v>0.00198919597276942</x:v>
      </x:c>
      <x:c r="Q19" s="36" t="str">
        <x:f>IF(P19&lt;0.01,"***",IF(P19&lt;0.05,"**",IF(P19&lt;0.1,"*","")))</x:f>
        <x:v>***</x:v>
      </x:c>
      <x:c r="R19" s="36" t="n">
        <x:v>-0.524820760623731</x:v>
      </x:c>
      <x:c r="S19" s="36" t="n">
        <x:v>-0.16360499167793</x:v>
      </x:c>
      <x:c r="T19" s="36"/>
      <x:c r="U19" s="25" t="str">
        <x:f>IF(T19="","",IF(T19&lt;0.01,"***",IF(T19&lt;0.05,"**",IF(T19&lt;0.1,"*",""))))</x:f>
      </x:c>
      <x:c r="V19" s="38" t="n">
        <x:v>8045131</x:v>
      </x:c>
      <x:c r="W19" s="25" t="str">
        <x:v>Pair–HS2; exporter–year; importer–year; HS2–year</x:v>
      </x:c>
      <x:c r="X19" s="25" t="str">
        <x:v>Unordered pair + year</x:v>
      </x:c>
      <x:c r="Y19" s="25" t="str">
        <x:v>Robust</x:v>
      </x:c>
      <x:c r="Z19" s="25" t="str">
        <x:v>Depth-survival sign under gpr threats.</x:v>
      </x:c>
      <x:c r="AA19" s="25" t="str">
        <x:v>outputs/tables/step13c_survival_robustness_coefficients.csv</x:v>
      </x:c>
      <x:c r="AB19" s="25" t="str">
        <x:v>model="joint_threat_gpr"; shock="threat_gpr"; inference="pair_plus_year_cluster"; term="shock_x_depth"</x:v>
      </x:c>
      <x:c r="AC19" s="25" t="str">
        <x:v>Appendix</x:v>
      </x:c>
      <x:c r="AD19" s="25" t="str">
        <x:v>Not drafted</x:v>
      </x:c>
    </x:row>
    <x:row r="20">
      <x:c r="A20" s="25" t="str">
        <x:v>M19</x:v>
      </x:c>
      <x:c r="B20" s="25" t="str">
        <x:v>Robustness</x:v>
      </x:c>
      <x:c r="C20" s="25" t="str">
        <x:v>Table 6 / Appendix</x:v>
      </x:c>
      <x:c r="D20" s="25" t="str">
        <x:v>Secondary</x:v>
      </x:c>
      <x:c r="E20" s="25" t="str">
        <x:v>Alternative GPR</x:v>
      </x:c>
      <x:c r="F20" s="25" t="str">
        <x:v>Pair–HS2 link survival</x:v>
      </x:c>
      <x:c r="G20" s="25" t="str">
        <x:v>At-risk links, 2008–2023</x:v>
      </x:c>
      <x:c r="H20" s="25" t="str">
        <x:v>LPM</x:v>
      </x:c>
      <x:c r="I20" s="25" t="str">
        <x:v>Annual peak GPR</x:v>
      </x:c>
      <x:c r="J20" s="25" t="str">
        <x:v>Joint, size-adjusted survival model</x:v>
      </x:c>
      <x:c r="K20" s="25" t="str">
        <x:v>Shock × DTA depth</x:v>
      </x:c>
      <x:c r="L20" s="36" t="n">
        <x:v>-0.00648977520046962</x:v>
      </x:c>
      <x:c r="M20" s="36" t="n">
        <x:v>-0.648977520046962</x:v>
      </x:c>
      <x:c r="N20" s="36" t="str">
        <x:v>percentage points</x:v>
      </x:c>
      <x:c r="O20" s="36" t="n">
        <x:v>0.00209747849372332</x:v>
      </x:c>
      <x:c r="P20" s="36" t="n">
        <x:v>0.00740618024750635</x:v>
      </x:c>
      <x:c r="Q20" s="36" t="str">
        <x:f>IF(P20&lt;0.01,"***",IF(P20&lt;0.05,"**",IF(P20&lt;0.1,"*","")))</x:f>
        <x:v>***</x:v>
      </x:c>
      <x:c r="R20" s="36" t="n">
        <x:v>-1.06008330481673</x:v>
      </x:c>
      <x:c r="S20" s="36" t="n">
        <x:v>-0.237871735277192</x:v>
      </x:c>
      <x:c r="T20" s="36"/>
      <x:c r="U20" s="25" t="str">
        <x:f>IF(T20="","",IF(T20&lt;0.01,"***",IF(T20&lt;0.05,"**",IF(T20&lt;0.1,"*",""))))</x:f>
      </x:c>
      <x:c r="V20" s="38" t="n">
        <x:v>8045131</x:v>
      </x:c>
      <x:c r="W20" s="25" t="str">
        <x:v>Pair–HS2; exporter–year; importer–year; HS2–year</x:v>
      </x:c>
      <x:c r="X20" s="25" t="str">
        <x:v>Unordered pair + year</x:v>
      </x:c>
      <x:c r="Y20" s="25" t="str">
        <x:v>Robust</x:v>
      </x:c>
      <x:c r="Z20" s="25" t="str">
        <x:v>Depth-survival sign under annual peak gpr.</x:v>
      </x:c>
      <x:c r="AA20" s="25" t="str">
        <x:v>outputs/tables/step13c_survival_robustness_coefficients.csv</x:v>
      </x:c>
      <x:c r="AB20" s="25" t="str">
        <x:v>model="joint_peak_gpr"; shock="peak_gpr"; inference="pair_plus_year_cluster"; term="shock_x_depth"</x:v>
      </x:c>
      <x:c r="AC20" s="25" t="str">
        <x:v>Appendix</x:v>
      </x:c>
      <x:c r="AD20" s="25" t="str">
        <x:v>Not drafted</x:v>
      </x:c>
    </x:row>
    <x:row r="21">
      <x:c r="A21" s="25" t="str">
        <x:v>M20</x:v>
      </x:c>
      <x:c r="B21" s="25" t="str">
        <x:v>Robustness</x:v>
      </x:c>
      <x:c r="C21" s="25" t="str">
        <x:v>Table 6 / Appendix</x:v>
      </x:c>
      <x:c r="D21" s="25" t="str">
        <x:v>Secondary</x:v>
      </x:c>
      <x:c r="E21" s="25" t="str">
        <x:v>Alternative GPR</x:v>
      </x:c>
      <x:c r="F21" s="25" t="str">
        <x:v>Pair–HS2 link survival</x:v>
      </x:c>
      <x:c r="G21" s="25" t="str">
        <x:v>At-risk links, 2008–2023</x:v>
      </x:c>
      <x:c r="H21" s="25" t="str">
        <x:v>LPM</x:v>
      </x:c>
      <x:c r="I21" s="25" t="str">
        <x:v>GPR acts</x:v>
      </x:c>
      <x:c r="J21" s="25" t="str">
        <x:v>Joint, size-adjusted survival model</x:v>
      </x:c>
      <x:c r="K21" s="25" t="str">
        <x:v>Shock × DTA depth</x:v>
      </x:c>
      <x:c r="L21" s="36" t="n">
        <x:v>-0.00370444312414187</x:v>
      </x:c>
      <x:c r="M21" s="36" t="n">
        <x:v>-0.370444312414187</x:v>
      </x:c>
      <x:c r="N21" s="36" t="str">
        <x:v>percentage points</x:v>
      </x:c>
      <x:c r="O21" s="36" t="n">
        <x:v>0.00295530688364294</x:v>
      </x:c>
      <x:c r="P21" s="36" t="n">
        <x:v>0.229214214580786</x:v>
      </x:c>
      <x:c r="Q21" s="36" t="str">
        <x:f>IF(P21&lt;0.01,"***",IF(P21&lt;0.05,"**",IF(P21&lt;0.1,"*","")))</x:f>
      </x:c>
      <x:c r="R21" s="36" t="n">
        <x:v>-0.949684461608203</x:v>
      </x:c>
      <x:c r="S21" s="36" t="n">
        <x:v>0.208795836779829</x:v>
      </x:c>
      <x:c r="T21" s="36"/>
      <x:c r="U21" s="25" t="str">
        <x:f>IF(T21="","",IF(T21&lt;0.01,"***",IF(T21&lt;0.05,"**",IF(T21&lt;0.1,"*",""))))</x:f>
      </x:c>
      <x:c r="V21" s="38" t="n">
        <x:v>8045131</x:v>
      </x:c>
      <x:c r="W21" s="25" t="str">
        <x:v>Pair–HS2; exporter–year; importer–year; HS2–year</x:v>
      </x:c>
      <x:c r="X21" s="25" t="str">
        <x:v>Unordered pair + year</x:v>
      </x:c>
      <x:c r="Y21" s="25" t="str">
        <x:v>Directionally consistent</x:v>
      </x:c>
      <x:c r="Z21" s="25" t="str">
        <x:v>Depth-survival sign under gpr acts.</x:v>
      </x:c>
      <x:c r="AA21" s="25" t="str">
        <x:v>outputs/tables/step13c_survival_robustness_coefficients.csv</x:v>
      </x:c>
      <x:c r="AB21" s="25" t="str">
        <x:v>model="joint_act_gpr"; shock="act_gpr"; inference="pair_plus_year_cluster"; term="shock_x_depth"</x:v>
      </x:c>
      <x:c r="AC21" s="25" t="str">
        <x:v>Appendix</x:v>
      </x:c>
      <x:c r="AD21" s="25" t="str">
        <x:v>Not drafted</x:v>
      </x:c>
    </x:row>
    <x:row r="22">
      <x:c r="A22" s="25" t="str">
        <x:v>M21</x:v>
      </x:c>
      <x:c r="B22" s="25" t="str">
        <x:v>Robustness</x:v>
      </x:c>
      <x:c r="C22" s="25" t="str">
        <x:v>Table 6</x:v>
      </x:c>
      <x:c r="D22" s="25" t="str">
        <x:v>Secondary</x:v>
      </x:c>
      <x:c r="E22" s="25" t="str">
        <x:v>Established-link survival</x:v>
      </x:c>
      <x:c r="F22" s="25" t="str">
        <x:v>Pair–HS2 link survival</x:v>
      </x:c>
      <x:c r="G22" s="25" t="str">
        <x:v>Lagged trade ≥ USD 100,000</x:v>
      </x:c>
      <x:c r="H22" s="25" t="str">
        <x:v>LPM</x:v>
      </x:c>
      <x:c r="I22" s="25" t="str">
        <x:v>Global mean GPR</x:v>
      </x:c>
      <x:c r="J22" s="25" t="str">
        <x:v>Joint, size-adjusted survival model</x:v>
      </x:c>
      <x:c r="K22" s="25" t="str">
        <x:v>GPR × DTA depth</x:v>
      </x:c>
      <x:c r="L22" s="36" t="n">
        <x:v>-0.00126536574452753</x:v>
      </x:c>
      <x:c r="M22" s="36" t="n">
        <x:v>-0.126536574452753</x:v>
      </x:c>
      <x:c r="N22" s="36" t="str">
        <x:v>percentage points</x:v>
      </x:c>
      <x:c r="O22" s="36" t="n">
        <x:v>0.000438609688096291</x:v>
      </x:c>
      <x:c r="P22" s="36" t="n">
        <x:v>0.0113353530691018</x:v>
      </x:c>
      <x:c r="Q22" s="36" t="str">
        <x:f>IF(P22&lt;0.01,"***",IF(P22&lt;0.05,"**",IF(P22&lt;0.1,"*","")))</x:f>
        <x:v>**</x:v>
      </x:c>
      <x:c r="R22" s="36" t="n">
        <x:v>-0.212504073319626</x:v>
      </x:c>
      <x:c r="S22" s="36" t="n">
        <x:v>-0.0405690755858802</x:v>
      </x:c>
      <x:c r="T22" s="36"/>
      <x:c r="U22" s="25" t="str">
        <x:f>IF(T22="","",IF(T22&lt;0.01,"***",IF(T22&lt;0.05,"**",IF(T22&lt;0.1,"*",""))))</x:f>
      </x:c>
      <x:c r="V22" s="38" t="n">
        <x:v>3842229</x:v>
      </x:c>
      <x:c r="W22" s="25" t="str">
        <x:v>Pair–HS2; exporter–year; importer–year; HS2–year</x:v>
      </x:c>
      <x:c r="X22" s="25" t="str">
        <x:v>Unordered pair + year</x:v>
      </x:c>
      <x:c r="Y22" s="25" t="str">
        <x:v>Robust</x:v>
      </x:c>
      <x:c r="Z22" s="25" t="str">
        <x:v>The negative depth association remains among larger established links, with smaller magnitude.</x:v>
      </x:c>
      <x:c r="AA22" s="25" t="str">
        <x:v>outputs/tables/step13c_survival_robustness_coefficients.csv</x:v>
      </x:c>
      <x:c r="AB22" s="25" t="str">
        <x:v>sample="lagged_trade_at_least_100k"; inference="pair_plus_year_cluster"; term="shock_x_depth"</x:v>
      </x:c>
      <x:c r="AC22" s="25" t="str">
        <x:v>Main text</x:v>
      </x:c>
      <x:c r="AD22" s="25" t="str">
        <x:v>Not drafted</x:v>
      </x:c>
    </x:row>
    <x:row r="23">
      <x:c r="A23" s="25" t="str">
        <x:v>M22</x:v>
      </x:c>
      <x:c r="B23" s="25" t="str">
        <x:v>Robustness</x:v>
      </x:c>
      <x:c r="C23" s="25" t="str">
        <x:v>Table 6</x:v>
      </x:c>
      <x:c r="D23" s="25" t="str">
        <x:v>Secondary</x:v>
      </x:c>
      <x:c r="E23" s="25" t="str">
        <x:v>Established-link survival</x:v>
      </x:c>
      <x:c r="F23" s="25" t="str">
        <x:v>Pair–HS2 link survival</x:v>
      </x:c>
      <x:c r="G23" s="25" t="str">
        <x:v>Lagged trade ≥ USD 1 million</x:v>
      </x:c>
      <x:c r="H23" s="25" t="str">
        <x:v>LPM</x:v>
      </x:c>
      <x:c r="I23" s="25" t="str">
        <x:v>Global mean GPR</x:v>
      </x:c>
      <x:c r="J23" s="25" t="str">
        <x:v>Joint, size-adjusted survival model</x:v>
      </x:c>
      <x:c r="K23" s="25" t="str">
        <x:v>GPR × DTA depth</x:v>
      </x:c>
      <x:c r="L23" s="36" t="n">
        <x:v>-0.0014424950509025</x:v>
      </x:c>
      <x:c r="M23" s="36" t="n">
        <x:v>-0.14424950509025</x:v>
      </x:c>
      <x:c r="N23" s="36" t="str">
        <x:v>percentage points</x:v>
      </x:c>
      <x:c r="O23" s="36" t="n">
        <x:v>0.00055120099763846</x:v>
      </x:c>
      <x:c r="P23" s="36" t="n">
        <x:v>0.0194296344015254</x:v>
      </x:c>
      <x:c r="Q23" s="36" t="str">
        <x:f>IF(P23&lt;0.01,"***",IF(P23&lt;0.05,"**",IF(P23&lt;0.1,"*","")))</x:f>
        <x:v>**</x:v>
      </x:c>
      <x:c r="R23" s="36" t="n">
        <x:v>-0.252284900627388</x:v>
      </x:c>
      <x:c r="S23" s="36" t="n">
        <x:v>-0.0362141095531123</x:v>
      </x:c>
      <x:c r="T23" s="36"/>
      <x:c r="U23" s="25" t="str">
        <x:f>IF(T23="","",IF(T23&lt;0.01,"***",IF(T23&lt;0.05,"**",IF(T23&lt;0.1,"*",""))))</x:f>
      </x:c>
      <x:c r="V23" s="38" t="n">
        <x:v>2079423</x:v>
      </x:c>
      <x:c r="W23" s="25" t="str">
        <x:v>Pair–HS2; exporter–year; importer–year; HS2–year</x:v>
      </x:c>
      <x:c r="X23" s="25" t="str">
        <x:v>Unordered pair + year</x:v>
      </x:c>
      <x:c r="Y23" s="25" t="str">
        <x:v>Robust</x:v>
      </x:c>
      <x:c r="Z23" s="25" t="str">
        <x:v>The negative depth association remains among larger established links, with smaller magnitude.</x:v>
      </x:c>
      <x:c r="AA23" s="25" t="str">
        <x:v>outputs/tables/step13c_survival_robustness_coefficients.csv</x:v>
      </x:c>
      <x:c r="AB23" s="25" t="str">
        <x:v>sample="lagged_trade_at_least_1m"; inference="pair_plus_year_cluster"; term="shock_x_depth"</x:v>
      </x:c>
      <x:c r="AC23" s="25" t="str">
        <x:v>Main text</x:v>
      </x:c>
      <x:c r="AD23" s="25" t="str">
        <x:v>Not drafted</x:v>
      </x:c>
    </x:row>
    <x:row r="24">
      <x:c r="A24" s="25" t="str">
        <x:v>M23</x:v>
      </x:c>
      <x:c r="B24" s="25" t="str">
        <x:v>Robustness</x:v>
      </x:c>
      <x:c r="C24" s="25" t="str">
        <x:v>Table 6</x:v>
      </x:c>
      <x:c r="D24" s="25" t="str">
        <x:v>Secondary</x:v>
      </x:c>
      <x:c r="E24" s="25" t="str">
        <x:v>FTA-only depth</x:v>
      </x:c>
      <x:c r="F24" s="25" t="str">
        <x:v>Intermediate-goods trade value</x:v>
      </x:c>
      <x:c r="G24" s="25" t="str">
        <x:v>Active-FTA observations only</x:v>
      </x:c>
      <x:c r="H24" s="25" t="str">
        <x:v>PPML</x:v>
      </x:c>
      <x:c r="I24" s="25" t="str">
        <x:v>Global mean GPR</x:v>
      </x:c>
      <x:c r="J24" s="25" t="str">
        <x:v>fta only trade ppml</x:v>
      </x:c>
      <x:c r="K24" s="25" t="str">
        <x:v>GPR × DTA depth</x:v>
      </x:c>
      <x:c r="L24" s="36" t="n">
        <x:v>0.00614504431066651</x:v>
      </x:c>
      <x:c r="M24" s="36" t="n">
        <x:v>0.616396382936335</x:v>
      </x:c>
      <x:c r="N24" s="36" t="str">
        <x:v>percent</x:v>
      </x:c>
      <x:c r="O24" s="36" t="n">
        <x:v>0.00684930041003032</x:v>
      </x:c>
      <x:c r="P24" s="36" t="n">
        <x:v>0.369623734804386</x:v>
      </x:c>
      <x:c r="Q24" s="36" t="str">
        <x:f>IF(P24&lt;0.01,"***",IF(P24&lt;0.05,"**",IF(P24&lt;0.1,"*","")))</x:f>
      </x:c>
      <x:c r="R24" s="36" t="n">
        <x:v>-0.725315249467529</x:v>
      </x:c>
      <x:c r="S24" s="36" t="n">
        <x:v>1.97624144088622</x:v>
      </x:c>
      <x:c r="T24" s="36"/>
      <x:c r="U24" s="25" t="str">
        <x:f>IF(T24="","",IF(T24&lt;0.01,"***",IF(T24&lt;0.05,"**",IF(T24&lt;0.1,"*",""))))</x:f>
      </x:c>
      <x:c r="V24" s="38" t="n">
        <x:v>5867439</x:v>
      </x:c>
      <x:c r="W24" s="25" t="str">
        <x:v>Pair–HS2; exporter–year; importer–year; HS2–year</x:v>
      </x:c>
      <x:c r="X24" s="25" t="str">
        <x:v>Unordered pair + year</x:v>
      </x:c>
      <x:c r="Y24" s="25" t="str">
        <x:v>Null</x:v>
      </x:c>
      <x:c r="Z24" s="25" t="str">
        <x:v>Within active FTAs, depth does not have a detectable average trade-value effect.</x:v>
      </x:c>
      <x:c r="AA24" s="25" t="str">
        <x:v>outputs/tables/step15a_fta_only_depth_coefficients.csv</x:v>
      </x:c>
      <x:c r="AB24" s="25" t="str">
        <x:v>model="fta_only_trade_ppml"; inference="pair_plus_year_cluster"; term="gpr_x_depth_strict_l1_10"</x:v>
      </x:c>
      <x:c r="AC24" s="25" t="str">
        <x:v>Main text</x:v>
      </x:c>
      <x:c r="AD24" s="25" t="str">
        <x:v>Not drafted</x:v>
      </x:c>
    </x:row>
    <x:row r="25">
      <x:c r="A25" s="25" t="str">
        <x:v>M24</x:v>
      </x:c>
      <x:c r="B25" s="25" t="str">
        <x:v>Robustness</x:v>
      </x:c>
      <x:c r="C25" s="25" t="str">
        <x:v>Table 6</x:v>
      </x:c>
      <x:c r="D25" s="25" t="str">
        <x:v>Secondary</x:v>
      </x:c>
      <x:c r="E25" s="25" t="str">
        <x:v>FTA-only depth</x:v>
      </x:c>
      <x:c r="F25" s="25" t="str">
        <x:v>Pair–HS2 link survival</x:v>
      </x:c>
      <x:c r="G25" s="25" t="str">
        <x:v>Active-FTA observations only</x:v>
      </x:c>
      <x:c r="H25" s="25" t="str">
        <x:v>LPM</x:v>
      </x:c>
      <x:c r="I25" s="25" t="str">
        <x:v>Global mean GPR</x:v>
      </x:c>
      <x:c r="J25" s="25" t="str">
        <x:v>fta only survival no size</x:v>
      </x:c>
      <x:c r="K25" s="25" t="str">
        <x:v>GPR × DTA depth</x:v>
      </x:c>
      <x:c r="L25" s="36" t="n">
        <x:v>-0.00441034363746903</x:v>
      </x:c>
      <x:c r="M25" s="36" t="n">
        <x:v>-0.441034363746903</x:v>
      </x:c>
      <x:c r="N25" s="36" t="str">
        <x:v>percentage points</x:v>
      </x:c>
      <x:c r="O25" s="36" t="n">
        <x:v>0.00309616332323206</x:v>
      </x:c>
      <x:c r="P25" s="36" t="n">
        <x:v>0.174787003563795</x:v>
      </x:c>
      <x:c r="Q25" s="36" t="str">
        <x:f>IF(P25&lt;0.01,"***",IF(P25&lt;0.05,"**",IF(P25&lt;0.1,"*","")))</x:f>
      </x:c>
      <x:c r="R25" s="36" t="n">
        <x:v>-1.04788237510039</x:v>
      </x:c>
      <x:c r="S25" s="36" t="n">
        <x:v>0.165813647606581</x:v>
      </x:c>
      <x:c r="T25" s="36"/>
      <x:c r="U25" s="25" t="str">
        <x:f>IF(T25="","",IF(T25&lt;0.01,"***",IF(T25&lt;0.05,"**",IF(T25&lt;0.1,"*",""))))</x:f>
      </x:c>
      <x:c r="V25" s="38" t="n">
        <x:v>3479262</x:v>
      </x:c>
      <x:c r="W25" s="25" t="str">
        <x:v>Pair–HS2; exporter–year; importer–year; HS2–year</x:v>
      </x:c>
      <x:c r="X25" s="25" t="str">
        <x:v>Unordered pair + year</x:v>
      </x:c>
      <x:c r="Y25" s="25" t="str">
        <x:v>Supportive</x:v>
      </x:c>
      <x:c r="Z25" s="25" t="str">
        <x:v>Within active FTAs, the negative depth-survival magnitude remains similar but loses two-way-cluster precision.</x:v>
      </x:c>
      <x:c r="AA25" s="25" t="str">
        <x:v>outputs/tables/step15a_fta_only_depth_coefficients.csv</x:v>
      </x:c>
      <x:c r="AB25" s="25" t="str">
        <x:v>model="fta_only_survival_no_size"; inference="pair_plus_year_cluster"; term="gpr_x_depth_strict_l1_10"</x:v>
      </x:c>
      <x:c r="AC25" s="25" t="str">
        <x:v>Appendix</x:v>
      </x:c>
      <x:c r="AD25" s="25" t="str">
        <x:v>Not drafted</x:v>
      </x:c>
    </x:row>
    <x:row r="26">
      <x:c r="A26" s="25" t="str">
        <x:v>M25</x:v>
      </x:c>
      <x:c r="B26" s="25" t="str">
        <x:v>Robustness</x:v>
      </x:c>
      <x:c r="C26" s="25" t="str">
        <x:v>Table 6</x:v>
      </x:c>
      <x:c r="D26" s="25" t="str">
        <x:v>Secondary</x:v>
      </x:c>
      <x:c r="E26" s="25" t="str">
        <x:v>FTA-only depth</x:v>
      </x:c>
      <x:c r="F26" s="25" t="str">
        <x:v>Pair–HS2 link survival</x:v>
      </x:c>
      <x:c r="G26" s="25" t="str">
        <x:v>Active-FTA observations only</x:v>
      </x:c>
      <x:c r="H26" s="25" t="str">
        <x:v>LPM</x:v>
      </x:c>
      <x:c r="I26" s="25" t="str">
        <x:v>Global mean GPR</x:v>
      </x:c>
      <x:c r="J26" s="25" t="str">
        <x:v>fta only survival size adjusted</x:v>
      </x:c>
      <x:c r="K26" s="25" t="str">
        <x:v>GPR × DTA depth</x:v>
      </x:c>
      <x:c r="L26" s="36" t="n">
        <x:v>-0.00457395704433094</x:v>
      </x:c>
      <x:c r="M26" s="36" t="n">
        <x:v>-0.457395704433094</x:v>
      </x:c>
      <x:c r="N26" s="36" t="str">
        <x:v>percentage points</x:v>
      </x:c>
      <x:c r="O26" s="36" t="n">
        <x:v>0.00311178324413132</x:v>
      </x:c>
      <x:c r="P26" s="36" t="n">
        <x:v>0.16225566624575</x:v>
      </x:c>
      <x:c r="Q26" s="36" t="str">
        <x:f>IF(P26&lt;0.01,"***",IF(P26&lt;0.05,"**",IF(P26&lt;0.1,"*","")))</x:f>
      </x:c>
      <x:c r="R26" s="36" t="n">
        <x:v>-1.06730522028283</x:v>
      </x:c>
      <x:c r="S26" s="36" t="n">
        <x:v>0.152513811416645</x:v>
      </x:c>
      <x:c r="T26" s="36"/>
      <x:c r="U26" s="25" t="str">
        <x:f>IF(T26="","",IF(T26&lt;0.01,"***",IF(T26&lt;0.05,"**",IF(T26&lt;0.1,"*",""))))</x:f>
      </x:c>
      <x:c r="V26" s="38" t="n">
        <x:v>3479262</x:v>
      </x:c>
      <x:c r="W26" s="25" t="str">
        <x:v>Pair–HS2; exporter–year; importer–year; HS2–year</x:v>
      </x:c>
      <x:c r="X26" s="25" t="str">
        <x:v>Unordered pair + year</x:v>
      </x:c>
      <x:c r="Y26" s="25" t="str">
        <x:v>Supportive</x:v>
      </x:c>
      <x:c r="Z26" s="25" t="str">
        <x:v>The FTA-only depth result is not explained by lagged link size.</x:v>
      </x:c>
      <x:c r="AA26" s="25" t="str">
        <x:v>outputs/tables/step15a_fta_only_depth_coefficients.csv</x:v>
      </x:c>
      <x:c r="AB26" s="25" t="str">
        <x:v>model="fta_only_survival_size_adjusted"; inference="pair_plus_year_cluster"; term="gpr_x_depth_strict_l1_10"</x:v>
      </x:c>
      <x:c r="AC26" s="25" t="str">
        <x:v>Main text</x:v>
      </x:c>
      <x:c r="AD26" s="25" t="str">
        <x:v>Not drafted</x:v>
      </x:c>
    </x:row>
    <x:row r="27">
      <x:c r="A27" s="25" t="str">
        <x:v>M26</x:v>
      </x:c>
      <x:c r="B27" s="25" t="str">
        <x:v>Robustness</x:v>
      </x:c>
      <x:c r="C27" s="25" t="str">
        <x:v>Table 6 / Appendix</x:v>
      </x:c>
      <x:c r="D27" s="25" t="str">
        <x:v>Secondary</x:v>
      </x:c>
      <x:c r="E27" s="25" t="str">
        <x:v>Country-specific GPR</x:v>
      </x:c>
      <x:c r="F27" s="25" t="str">
        <x:v>Intermediate-goods trade value</x:v>
      </x:c>
      <x:c r="G27" s="25" t="str">
        <x:v>44-country restricted sample</x:v>
      </x:c>
      <x:c r="H27" s="25" t="str">
        <x:v>PPML</x:v>
      </x:c>
      <x:c r="I27" s="25" t="str">
        <x:v>Restricted global GPR</x:v>
      </x:c>
      <x:c r="J27" s="25" t="str">
        <x:v>Joint FTA + depth model</x:v>
      </x:c>
      <x:c r="K27" s="25" t="str">
        <x:v>GPR × FTA</x:v>
      </x:c>
      <x:c r="L27" s="36" t="n">
        <x:v>-0.061697463153733</x:v>
      </x:c>
      <x:c r="M27" s="36" t="n">
        <x:v>-5.98327209870871</x:v>
      </x:c>
      <x:c r="N27" s="36" t="str">
        <x:v>percent</x:v>
      </x:c>
      <x:c r="O27" s="36" t="n">
        <x:v>0.0217003407052915</x:v>
      </x:c>
      <x:c r="P27" s="36" t="n">
        <x:v>0.00446691407834802</x:v>
      </x:c>
      <x:c r="Q27" s="36" t="str">
        <x:f>IF(P27&lt;0.01,"***",IF(P27&lt;0.05,"**",IF(P27&lt;0.1,"*","")))</x:f>
        <x:v>***</x:v>
      </x:c>
      <x:c r="R27" s="36" t="n">
        <x:v>-9.89820785374047</x:v>
      </x:c>
      <x:c r="S27" s="36" t="n">
        <x:v>-1.89823182521026</x:v>
      </x:c>
      <x:c r="T27" s="36"/>
      <x:c r="U27" s="25" t="str">
        <x:f>IF(T27="","",IF(T27&lt;0.01,"***",IF(T27&lt;0.05,"**",IF(T27&lt;0.1,"*",""))))</x:f>
      </x:c>
      <x:c r="V27" s="38" t="n">
        <x:v>2520781</x:v>
      </x:c>
      <x:c r="W27" s="25" t="str">
        <x:v>Pair–HS2; exporter–year; importer–year; HS2–year</x:v>
      </x:c>
      <x:c r="X27" s="25" t="str">
        <x:v>Unordered pair + year</x:v>
      </x:c>
      <x:c r="Y27" s="25" t="str">
        <x:v>Robust</x:v>
      </x:c>
      <x:c r="Z27" s="25" t="str">
        <x:v>The negative FTA trade-value interaction is stronger in the selected 44-country sample.</x:v>
      </x:c>
      <x:c r="AA27" s="25" t="str">
        <x:v>outputs/tables/step15c_country_gpr_coefficients.csv</x:v>
      </x:c>
      <x:c r="AB27" s="25" t="str">
        <x:v>model="trade_restricted_global_gpr"; inference="pair_plus_year_cluster"; term="shock_x_fta"</x:v>
      </x:c>
      <x:c r="AC27" s="25" t="str">
        <x:v>Appendix</x:v>
      </x:c>
      <x:c r="AD27" s="25" t="str">
        <x:v>Not drafted</x:v>
      </x:c>
    </x:row>
    <x:row r="28">
      <x:c r="A28" s="25" t="str">
        <x:v>M27</x:v>
      </x:c>
      <x:c r="B28" s="25" t="str">
        <x:v>Robustness</x:v>
      </x:c>
      <x:c r="C28" s="25" t="str">
        <x:v>Table 6 / Appendix</x:v>
      </x:c>
      <x:c r="D28" s="25" t="str">
        <x:v>Secondary</x:v>
      </x:c>
      <x:c r="E28" s="25" t="str">
        <x:v>Country-specific GPR</x:v>
      </x:c>
      <x:c r="F28" s="25" t="str">
        <x:v>Intermediate-goods trade value</x:v>
      </x:c>
      <x:c r="G28" s="25" t="str">
        <x:v>44-country restricted sample</x:v>
      </x:c>
      <x:c r="H28" s="25" t="str">
        <x:v>PPML</x:v>
      </x:c>
      <x:c r="I28" s="25" t="str">
        <x:v>Restricted global GPR</x:v>
      </x:c>
      <x:c r="J28" s="25" t="str">
        <x:v>Joint FTA + depth model</x:v>
      </x:c>
      <x:c r="K28" s="25" t="str">
        <x:v>GPR × DTA depth</x:v>
      </x:c>
      <x:c r="L28" s="36" t="n">
        <x:v>0.0160286684561591</x:v>
      </x:c>
      <x:c r="M28" s="36" t="n">
        <x:v>1.61578166643366</x:v>
      </x:c>
      <x:c r="N28" s="36" t="str">
        <x:v>percent</x:v>
      </x:c>
      <x:c r="O28" s="36" t="n">
        <x:v>0.0109460688325966</x:v>
      </x:c>
      <x:c r="P28" s="36" t="n">
        <x:v>0.143103517563023</x:v>
      </x:c>
      <x:c r="Q28" s="36" t="str">
        <x:f>IF(P28&lt;0.01,"***",IF(P28&lt;0.05,"**",IF(P28&lt;0.1,"*","")))</x:f>
      </x:c>
      <x:c r="R28" s="36" t="n">
        <x:v>-0.541093432785378</x:v>
      </x:c>
      <x:c r="S28" s="36" t="n">
        <x:v>3.81943095968111</x:v>
      </x:c>
      <x:c r="T28" s="36"/>
      <x:c r="U28" s="25" t="str">
        <x:f>IF(T28="","",IF(T28&lt;0.01,"***",IF(T28&lt;0.05,"**",IF(T28&lt;0.1,"*",""))))</x:f>
      </x:c>
      <x:c r="V28" s="38" t="n">
        <x:v>2520781</x:v>
      </x:c>
      <x:c r="W28" s="25" t="str">
        <x:v>Pair–HS2; exporter–year; importer–year; HS2–year</x:v>
      </x:c>
      <x:c r="X28" s="25" t="str">
        <x:v>Unordered pair + year</x:v>
      </x:c>
      <x:c r="Y28" s="25" t="str">
        <x:v>Null</x:v>
      </x:c>
      <x:c r="Z28" s="25" t="str">
        <x:v>Depth remains statistically imprecise when global GPR is re-estimated in the restricted sample.</x:v>
      </x:c>
      <x:c r="AA28" s="25" t="str">
        <x:v>outputs/tables/step15c_country_gpr_coefficients.csv</x:v>
      </x:c>
      <x:c r="AB28" s="25" t="str">
        <x:v>model="trade_restricted_global_gpr"; inference="pair_plus_year_cluster"; term="shock_x_depth"</x:v>
      </x:c>
      <x:c r="AC28" s="25" t="str">
        <x:v>Appendix</x:v>
      </x:c>
      <x:c r="AD28" s="25" t="str">
        <x:v>Not drafted</x:v>
      </x:c>
    </x:row>
    <x:row r="29">
      <x:c r="A29" s="25" t="str">
        <x:v>M28</x:v>
      </x:c>
      <x:c r="B29" s="25" t="str">
        <x:v>Robustness</x:v>
      </x:c>
      <x:c r="C29" s="25" t="str">
        <x:v>Table 6 / Appendix</x:v>
      </x:c>
      <x:c r="D29" s="25" t="str">
        <x:v>Secondary</x:v>
      </x:c>
      <x:c r="E29" s="25" t="str">
        <x:v>Country-specific GPR</x:v>
      </x:c>
      <x:c r="F29" s="25" t="str">
        <x:v>Intermediate-goods trade value</x:v>
      </x:c>
      <x:c r="G29" s="25" t="str">
        <x:v>44-country restricted sample</x:v>
      </x:c>
      <x:c r="H29" s="25" t="str">
        <x:v>PPML</x:v>
      </x:c>
      <x:c r="I29" s="25" t="str">
        <x:v>Average pair-country GPR</x:v>
      </x:c>
      <x:c r="J29" s="25" t="str">
        <x:v>Joint FTA + depth model</x:v>
      </x:c>
      <x:c r="K29" s="25" t="str">
        <x:v>Pair GPR × FTA</x:v>
      </x:c>
      <x:c r="L29" s="36" t="n">
        <x:v>-0.0852480516402335</x:v>
      </x:c>
      <x:c r="M29" s="36" t="n">
        <x:v>-8.17155258217451</x:v>
      </x:c>
      <x:c r="N29" s="36" t="str">
        <x:v>percent</x:v>
      </x:c>
      <x:c r="O29" s="36" t="n">
        <x:v>0.0318637318269555</x:v>
      </x:c>
      <x:c r="P29" s="36" t="n">
        <x:v>0.00746413700119445</x:v>
      </x:c>
      <x:c r="Q29" s="36" t="str">
        <x:f>IF(P29&lt;0.01,"***",IF(P29&lt;0.05,"**",IF(P29&lt;0.1,"*","")))</x:f>
        <x:v>***</x:v>
      </x:c>
      <x:c r="R29" s="36" t="n">
        <x:v>-13.7310950286389</x:v>
      </x:c>
      <x:c r="S29" s="36" t="n">
        <x:v>-2.25372910473731</x:v>
      </x:c>
      <x:c r="T29" s="36"/>
      <x:c r="U29" s="25" t="str">
        <x:f>IF(T29="","",IF(T29&lt;0.01,"***",IF(T29&lt;0.05,"**",IF(T29&lt;0.1,"*",""))))</x:f>
      </x:c>
      <x:c r="V29" s="38" t="n">
        <x:v>2520781</x:v>
      </x:c>
      <x:c r="W29" s="25" t="str">
        <x:v>Pair–HS2; exporter–year; importer–year; HS2–year</x:v>
      </x:c>
      <x:c r="X29" s="25" t="str">
        <x:v>Unordered pair + year</x:v>
      </x:c>
      <x:c r="Y29" s="25" t="str">
        <x:v>Robust</x:v>
      </x:c>
      <x:c r="Z29" s="25" t="str">
        <x:v>Country-specific pair risk is associated with a large negative FTA trade-value response.</x:v>
      </x:c>
      <x:c r="AA29" s="25" t="str">
        <x:v>outputs/tables/step15c_country_gpr_coefficients.csv</x:v>
      </x:c>
      <x:c r="AB29" s="25" t="str">
        <x:v>model="trade_pair_average_country_gpr"; inference="pair_plus_year_cluster"; term="shock_x_fta"</x:v>
      </x:c>
      <x:c r="AC29" s="25" t="str">
        <x:v>Main text</x:v>
      </x:c>
      <x:c r="AD29" s="25" t="str">
        <x:v>Not drafted</x:v>
      </x:c>
    </x:row>
    <x:row r="30">
      <x:c r="A30" s="25" t="str">
        <x:v>M29</x:v>
      </x:c>
      <x:c r="B30" s="25" t="str">
        <x:v>Robustness</x:v>
      </x:c>
      <x:c r="C30" s="25" t="str">
        <x:v>Table 6 / Appendix</x:v>
      </x:c>
      <x:c r="D30" s="25" t="str">
        <x:v>Secondary</x:v>
      </x:c>
      <x:c r="E30" s="25" t="str">
        <x:v>Country-specific GPR</x:v>
      </x:c>
      <x:c r="F30" s="25" t="str">
        <x:v>Intermediate-goods trade value</x:v>
      </x:c>
      <x:c r="G30" s="25" t="str">
        <x:v>44-country restricted sample</x:v>
      </x:c>
      <x:c r="H30" s="25" t="str">
        <x:v>PPML</x:v>
      </x:c>
      <x:c r="I30" s="25" t="str">
        <x:v>Average pair-country GPR</x:v>
      </x:c>
      <x:c r="J30" s="25" t="str">
        <x:v>Joint FTA + depth model</x:v>
      </x:c>
      <x:c r="K30" s="25" t="str">
        <x:v>Pair GPR × DTA depth</x:v>
      </x:c>
      <x:c r="L30" s="36" t="n">
        <x:v>0.0279579049497812</x:v>
      </x:c>
      <x:c r="M30" s="36" t="n">
        <x:v>2.8352394964587</x:v>
      </x:c>
      <x:c r="N30" s="36" t="str">
        <x:v>percent</x:v>
      </x:c>
      <x:c r="O30" s="36" t="n">
        <x:v>0.0117708804940953</x:v>
      </x:c>
      <x:c r="P30" s="36" t="n">
        <x:v>0.0175406161212393</x:v>
      </x:c>
      <x:c r="Q30" s="36" t="str">
        <x:f>IF(P30&lt;0.01,"***",IF(P30&lt;0.05,"**",IF(P30&lt;0.1,"*","")))</x:f>
        <x:v>**</x:v>
      </x:c>
      <x:c r="R30" s="36" t="n">
        <x:v>0.489893994016954</x:v>
      </x:c>
      <x:c r="S30" s="36" t="n">
        <x:v>5.23532329453591</x:v>
      </x:c>
      <x:c r="T30" s="36"/>
      <x:c r="U30" s="25" t="str">
        <x:f>IF(T30="","",IF(T30&lt;0.01,"***",IF(T30&lt;0.05,"**",IF(T30&lt;0.1,"*",""))))</x:f>
      </x:c>
      <x:c r="V30" s="38" t="n">
        <x:v>2520781</x:v>
      </x:c>
      <x:c r="W30" s="25" t="str">
        <x:v>Pair–HS2; exporter–year; importer–year; HS2–year</x:v>
      </x:c>
      <x:c r="X30" s="25" t="str">
        <x:v>Unordered pair + year</x:v>
      </x:c>
      <x:c r="Y30" s="25" t="str">
        <x:v>Restricted-sample buffering</x:v>
      </x:c>
      <x:c r="Z30" s="25" t="str">
        <x:v>Depth partially offsets the negative trade-value response in the restricted country-GPR sample.</x:v>
      </x:c>
      <x:c r="AA30" s="25" t="str">
        <x:v>outputs/tables/step15c_country_gpr_coefficients.csv</x:v>
      </x:c>
      <x:c r="AB30" s="25" t="str">
        <x:v>model="trade_pair_average_country_gpr"; inference="pair_plus_year_cluster"; term="shock_x_depth"</x:v>
      </x:c>
      <x:c r="AC30" s="25" t="str">
        <x:v>Main text</x:v>
      </x:c>
      <x:c r="AD30" s="25" t="str">
        <x:v>Not drafted</x:v>
      </x:c>
    </x:row>
    <x:row r="31">
      <x:c r="A31" s="25" t="str">
        <x:v>M30</x:v>
      </x:c>
      <x:c r="B31" s="25" t="str">
        <x:v>Robustness</x:v>
      </x:c>
      <x:c r="C31" s="25" t="str">
        <x:v>Table 6 / Appendix</x:v>
      </x:c>
      <x:c r="D31" s="25" t="str">
        <x:v>Secondary</x:v>
      </x:c>
      <x:c r="E31" s="25" t="str">
        <x:v>Country-specific GPR</x:v>
      </x:c>
      <x:c r="F31" s="25" t="str">
        <x:v>Pair–HS2 link survival</x:v>
      </x:c>
      <x:c r="G31" s="25" t="str">
        <x:v>44-country restricted sample</x:v>
      </x:c>
      <x:c r="H31" s="25" t="str">
        <x:v>LPM</x:v>
      </x:c>
      <x:c r="I31" s="25" t="str">
        <x:v>Restricted global GPR</x:v>
      </x:c>
      <x:c r="J31" s="25" t="str">
        <x:v>Joint FTA + depth model</x:v>
      </x:c>
      <x:c r="K31" s="25" t="str">
        <x:v>GPR × DTA depth</x:v>
      </x:c>
      <x:c r="L31" s="36" t="n">
        <x:v>-0.00383877966910514</x:v>
      </x:c>
      <x:c r="M31" s="36" t="n">
        <x:v>-0.383877966910514</x:v>
      </x:c>
      <x:c r="N31" s="36" t="str">
        <x:v>percentage points</x:v>
      </x:c>
      <x:c r="O31" s="36" t="n">
        <x:v>0.000978772178677121</x:v>
      </x:c>
      <x:c r="P31" s="36" t="n">
        <x:v>0.00135878101025905</x:v>
      </x:c>
      <x:c r="Q31" s="36" t="str">
        <x:f>IF(P31&lt;0.01,"***",IF(P31&lt;0.05,"**",IF(P31&lt;0.1,"*","")))</x:f>
        <x:v>***</x:v>
      </x:c>
      <x:c r="R31" s="36" t="n">
        <x:v>-0.57571731393123</x:v>
      </x:c>
      <x:c r="S31" s="36" t="n">
        <x:v>-0.192038619889798</x:v>
      </x:c>
      <x:c r="T31" s="36"/>
      <x:c r="U31" s="25" t="str">
        <x:f>IF(T31="","",IF(T31&lt;0.01,"***",IF(T31&lt;0.05,"**",IF(T31&lt;0.1,"*",""))))</x:f>
      </x:c>
      <x:c r="V31" s="38" t="n">
        <x:v>1878443</x:v>
      </x:c>
      <x:c r="W31" s="25" t="str">
        <x:v>Pair–HS2; exporter–year; importer–year; HS2–year</x:v>
      </x:c>
      <x:c r="X31" s="25" t="str">
        <x:v>Unordered pair + year</x:v>
      </x:c>
      <x:c r="Y31" s="25" t="str">
        <x:v>Robust</x:v>
      </x:c>
      <x:c r="Z31" s="25" t="str">
        <x:v>The negative depth-survival association remains in the 44-country restricted sample.</x:v>
      </x:c>
      <x:c r="AA31" s="25" t="str">
        <x:v>outputs/tables/step15c_country_gpr_coefficients.csv</x:v>
      </x:c>
      <x:c r="AB31" s="25" t="str">
        <x:v>model="survival_restricted_global_gpr"; inference="pair_plus_year_cluster"; term="shock_x_depth"</x:v>
      </x:c>
      <x:c r="AC31" s="25" t="str">
        <x:v>Main text</x:v>
      </x:c>
      <x:c r="AD31" s="25" t="str">
        <x:v>Not drafted</x:v>
      </x:c>
    </x:row>
    <x:row r="32">
      <x:c r="A32" s="25" t="str">
        <x:v>M31</x:v>
      </x:c>
      <x:c r="B32" s="25" t="str">
        <x:v>Robustness</x:v>
      </x:c>
      <x:c r="C32" s="25" t="str">
        <x:v>Table 6 / Appendix</x:v>
      </x:c>
      <x:c r="D32" s="25" t="str">
        <x:v>Secondary</x:v>
      </x:c>
      <x:c r="E32" s="25" t="str">
        <x:v>Country-specific GPR</x:v>
      </x:c>
      <x:c r="F32" s="25" t="str">
        <x:v>Pair–HS2 link survival</x:v>
      </x:c>
      <x:c r="G32" s="25" t="str">
        <x:v>44-country restricted sample</x:v>
      </x:c>
      <x:c r="H32" s="25" t="str">
        <x:v>LPM</x:v>
      </x:c>
      <x:c r="I32" s="25" t="str">
        <x:v>Average pair-country GPR</x:v>
      </x:c>
      <x:c r="J32" s="25" t="str">
        <x:v>Joint FTA + depth model</x:v>
      </x:c>
      <x:c r="K32" s="25" t="str">
        <x:v>Pair GPR × DTA depth</x:v>
      </x:c>
      <x:c r="L32" s="36" t="n">
        <x:v>-0.00168012785454394</x:v>
      </x:c>
      <x:c r="M32" s="36" t="n">
        <x:v>-0.168012785454394</x:v>
      </x:c>
      <x:c r="N32" s="36" t="str">
        <x:v>percentage points</x:v>
      </x:c>
      <x:c r="O32" s="36" t="n">
        <x:v>0.000382588656830402</x:v>
      </x:c>
      <x:c r="P32" s="36" t="n">
        <x:v>0.000525811972677675</x:v>
      </x:c>
      <x:c r="Q32" s="36" t="str">
        <x:f>IF(P32&lt;0.01,"***",IF(P32&lt;0.05,"**",IF(P32&lt;0.1,"*","")))</x:f>
        <x:v>***</x:v>
      </x:c>
      <x:c r="R32" s="36" t="n">
        <x:v>-0.243000162193153</x:v>
      </x:c>
      <x:c r="S32" s="36" t="n">
        <x:v>-0.0930254087156352</x:v>
      </x:c>
      <x:c r="T32" s="36"/>
      <x:c r="U32" s="25" t="str">
        <x:f>IF(T32="","",IF(T32&lt;0.01,"***",IF(T32&lt;0.05,"**",IF(T32&lt;0.1,"*",""))))</x:f>
      </x:c>
      <x:c r="V32" s="38" t="n">
        <x:v>1878443</x:v>
      </x:c>
      <x:c r="W32" s="25" t="str">
        <x:v>Pair–HS2; exporter–year; importer–year; HS2–year</x:v>
      </x:c>
      <x:c r="X32" s="25" t="str">
        <x:v>Unordered pair + year</x:v>
      </x:c>
      <x:c r="Y32" s="25" t="str">
        <x:v>Robust</x:v>
      </x:c>
      <x:c r="Z32" s="25" t="str">
        <x:v>Depth lowers survival under average exporter–importer country-specific GPR.</x:v>
      </x:c>
      <x:c r="AA32" s="25" t="str">
        <x:v>outputs/tables/step15c_country_gpr_coefficients.csv</x:v>
      </x:c>
      <x:c r="AB32" s="25" t="str">
        <x:v>model="survival_pair_average_country_gpr"; inference="pair_plus_year_cluster"; term="shock_x_depth"</x:v>
      </x:c>
      <x:c r="AC32" s="25" t="str">
        <x:v>Main text</x:v>
      </x:c>
      <x:c r="AD32" s="25" t="str">
        <x:v>Not drafted</x:v>
      </x:c>
    </x:row>
    <x:row r="33">
      <x:c r="A33" s="25" t="str">
        <x:v>M32</x:v>
      </x:c>
      <x:c r="B33" s="25" t="str">
        <x:v>Robustness</x:v>
      </x:c>
      <x:c r="C33" s="25" t="str">
        <x:v>Table 6 / Appendix</x:v>
      </x:c>
      <x:c r="D33" s="25" t="str">
        <x:v>Secondary</x:v>
      </x:c>
      <x:c r="E33" s="25" t="str">
        <x:v>Country-specific GPR</x:v>
      </x:c>
      <x:c r="F33" s="25" t="str">
        <x:v>Pair–HS2 link survival</x:v>
      </x:c>
      <x:c r="G33" s="25" t="str">
        <x:v>44-country restricted sample</x:v>
      </x:c>
      <x:c r="H33" s="25" t="str">
        <x:v>LPM</x:v>
      </x:c>
      <x:c r="I33" s="25" t="str">
        <x:v>Maximum pair-country GPR</x:v>
      </x:c>
      <x:c r="J33" s="25" t="str">
        <x:v>Joint FTA + depth model</x:v>
      </x:c>
      <x:c r="K33" s="25" t="str">
        <x:v>Pair GPR × DTA depth</x:v>
      </x:c>
      <x:c r="L33" s="36" t="n">
        <x:v>-0.00203328113703985</x:v>
      </x:c>
      <x:c r="M33" s="36" t="n">
        <x:v>-0.203328113703985</x:v>
      </x:c>
      <x:c r="N33" s="36" t="str">
        <x:v>percentage points</x:v>
      </x:c>
      <x:c r="O33" s="36" t="n">
        <x:v>0.000455209838623747</x:v>
      </x:c>
      <x:c r="P33" s="36" t="n">
        <x:v>0.000452378488276697</x:v>
      </x:c>
      <x:c r="Q33" s="36" t="str">
        <x:f>IF(P33&lt;0.01,"***",IF(P33&lt;0.05,"**",IF(P33&lt;0.1,"*","")))</x:f>
        <x:v>***</x:v>
      </x:c>
      <x:c r="R33" s="36" t="n">
        <x:v>-0.292549242074239</x:v>
      </x:c>
      <x:c r="S33" s="36" t="n">
        <x:v>-0.11410698533373</x:v>
      </x:c>
      <x:c r="T33" s="36"/>
      <x:c r="U33" s="25" t="str">
        <x:f>IF(T33="","",IF(T33&lt;0.01,"***",IF(T33&lt;0.05,"**",IF(T33&lt;0.1,"*",""))))</x:f>
      </x:c>
      <x:c r="V33" s="38" t="n">
        <x:v>1878443</x:v>
      </x:c>
      <x:c r="W33" s="25" t="str">
        <x:v>Pair–HS2; exporter–year; importer–year; HS2–year</x:v>
      </x:c>
      <x:c r="X33" s="25" t="str">
        <x:v>Unordered pair + year</x:v>
      </x:c>
      <x:c r="Y33" s="25" t="str">
        <x:v>Robust</x:v>
      </x:c>
      <x:c r="Z33" s="25" t="str">
        <x:v>Depth lowers survival when exposure is defined by the more highly exposed partner.</x:v>
      </x:c>
      <x:c r="AA33" s="25" t="str">
        <x:v>outputs/tables/step15c_country_gpr_coefficients.csv</x:v>
      </x:c>
      <x:c r="AB33" s="25" t="str">
        <x:v>model="survival_pair_maximum_country_gpr"; inference="pair_plus_year_cluster"; term="shock_x_depth"</x:v>
      </x:c>
      <x:c r="AC33" s="25" t="str">
        <x:v>Appendix</x:v>
      </x:c>
      <x:c r="AD33" s="25" t="str">
        <x:v>Not drafted</x:v>
      </x:c>
    </x:row>
    <x:row r="34">
      <x:c r="A34" s="25" t="str">
        <x:v>M33</x:v>
      </x:c>
      <x:c r="B34" s="25" t="str">
        <x:v>Robustness</x:v>
      </x:c>
      <x:c r="C34" s="25" t="str">
        <x:v>Table 6 / Appendix</x:v>
      </x:c>
      <x:c r="D34" s="25" t="str">
        <x:v>Secondary</x:v>
      </x:c>
      <x:c r="E34" s="25" t="str">
        <x:v>Country-specific GPR</x:v>
      </x:c>
      <x:c r="F34" s="25" t="str">
        <x:v>Pair–HS2 link survival</x:v>
      </x:c>
      <x:c r="G34" s="25" t="str">
        <x:v>44-country restricted sample</x:v>
      </x:c>
      <x:c r="H34" s="25" t="str">
        <x:v>LPM</x:v>
      </x:c>
      <x:c r="I34" s="25" t="str">
        <x:v>Log-average pair-country GPR</x:v>
      </x:c>
      <x:c r="J34" s="25" t="str">
        <x:v>Joint FTA + depth model</x:v>
      </x:c>
      <x:c r="K34" s="25" t="str">
        <x:v>Pair GPR × DTA depth</x:v>
      </x:c>
      <x:c r="L34" s="36" t="n">
        <x:v>-0.00147499684246809</x:v>
      </x:c>
      <x:c r="M34" s="36" t="n">
        <x:v>-0.147499684246809</x:v>
      </x:c>
      <x:c r="N34" s="36" t="str">
        <x:v>percentage points</x:v>
      </x:c>
      <x:c r="O34" s="36" t="n">
        <x:v>0.000383327709078364</x:v>
      </x:c>
      <x:c r="P34" s="36" t="n">
        <x:v>0.00158077011749035</x:v>
      </x:c>
      <x:c r="Q34" s="36" t="str">
        <x:f>IF(P34&lt;0.01,"***",IF(P34&lt;0.05,"**",IF(P34&lt;0.1,"*","")))</x:f>
        <x:v>***</x:v>
      </x:c>
      <x:c r="R34" s="36" t="n">
        <x:v>-0.222631915226168</x:v>
      </x:c>
      <x:c r="S34" s="36" t="n">
        <x:v>-0.0723674532674494</x:v>
      </x:c>
      <x:c r="T34" s="36"/>
      <x:c r="U34" s="25" t="str">
        <x:f>IF(T34="","",IF(T34&lt;0.01,"***",IF(T34&lt;0.05,"**",IF(T34&lt;0.1,"*",""))))</x:f>
      </x:c>
      <x:c r="V34" s="38" t="n">
        <x:v>1878443</x:v>
      </x:c>
      <x:c r="W34" s="25" t="str">
        <x:v>Pair–HS2; exporter–year; importer–year; HS2–year</x:v>
      </x:c>
      <x:c r="X34" s="25" t="str">
        <x:v>Unordered pair + year</x:v>
      </x:c>
      <x:c r="Y34" s="25" t="str">
        <x:v>Robust</x:v>
      </x:c>
      <x:c r="Z34" s="25" t="str">
        <x:v>The country-specific survival result is robust to the log-average shock.</x:v>
      </x:c>
      <x:c r="AA34" s="25" t="str">
        <x:v>outputs/tables/step15c_country_gpr_coefficients.csv</x:v>
      </x:c>
      <x:c r="AB34" s="25" t="str">
        <x:v>model="survival_pair_log_average_country_gpr"; inference="pair_plus_year_cluster"; term="shock_x_depth"</x:v>
      </x:c>
      <x:c r="AC34" s="25" t="str">
        <x:v>Appendix</x:v>
      </x:c>
      <x:c r="AD34" s="25" t="str">
        <x:v>Not drafted</x:v>
      </x:c>
    </x:row>
    <x:row r="35">
      <x:c r="A35" s="25" t="str">
        <x:v>M34</x:v>
      </x:c>
      <x:c r="B35" s="25" t="str">
        <x:v>Extensions</x:v>
      </x:c>
      <x:c r="C35" s="25" t="str">
        <x:v>Appendix Table A3</x:v>
      </x:c>
      <x:c r="D35" s="25" t="str">
        <x:v>Extension</x:v>
      </x:c>
      <x:c r="E35" s="25" t="str">
        <x:v>Post-exit recovery</x:v>
      </x:c>
      <x:c r="F35" s="25" t="str">
        <x:v>One-year re-entry</x:v>
      </x:c>
      <x:c r="G35" s="25" t="str">
        <x:v>Exit-event recovery panel</x:v>
      </x:c>
      <x:c r="H35" s="25" t="str">
        <x:v>LPM</x:v>
      </x:c>
      <x:c r="I35" s="25" t="str">
        <x:v>Global mean GPR</x:v>
      </x:c>
      <x:c r="J35" s="25" t="str">
        <x:v>directed_pair_fe recovery model</x:v>
      </x:c>
      <x:c r="K35" s="25" t="str">
        <x:v>GPR × DTA depth</x:v>
      </x:c>
      <x:c r="L35" s="36" t="n">
        <x:v>-0.00354343222807043</x:v>
      </x:c>
      <x:c r="M35" s="36" t="n">
        <x:v>-0.354343222807043</x:v>
      </x:c>
      <x:c r="N35" s="36" t="str">
        <x:v>percentage points</x:v>
      </x:c>
      <x:c r="O35" s="36" t="n">
        <x:v>0.00159919788769475</x:v>
      </x:c>
      <x:c r="P35" s="36" t="n">
        <x:v>0.0437865739308022</x:v>
      </x:c>
      <x:c r="Q35" s="36" t="str">
        <x:f>IF(P35&lt;0.01,"***",IF(P35&lt;0.05,"**",IF(P35&lt;0.1,"*","")))</x:f>
        <x:v>**</x:v>
      </x:c>
      <x:c r="R35" s="36" t="n">
        <x:v>-0.667786008795214</x:v>
      </x:c>
      <x:c r="S35" s="36" t="n">
        <x:v>-0.0409004368188726</x:v>
      </x:c>
      <x:c r="T35" s="36"/>
      <x:c r="U35" s="25" t="str">
        <x:f>IF(T35="","",IF(T35&lt;0.01,"***",IF(T35&lt;0.05,"**",IF(T35&lt;0.1,"*",""))))</x:f>
      </x:c>
      <x:c r="V35" s="38" t="n">
        <x:v>1151310</x:v>
      </x:c>
      <x:c r="W35" s="25" t="str">
        <x:v>Directed-pair; exporter–exit-year; importer–exit-year; HS2–exit-year</x:v>
      </x:c>
      <x:c r="X35" s="25" t="str">
        <x:v>Unordered pair + exit year</x:v>
      </x:c>
      <x:c r="Y35" s="25" t="str">
        <x:v>Exploratory</x:v>
      </x:c>
      <x:c r="Z35" s="25" t="str">
        <x:v>Directed-pair FE suggests slower one-year re-entry under greater depth.</x:v>
      </x:c>
      <x:c r="AA35" s="25" t="str">
        <x:v>outputs/tables/step14b_recovery_interactions.csv</x:v>
      </x:c>
      <x:c r="AB35" s="25" t="str">
        <x:v>outcome="reenter_1y"; fe_spec="directed_pair_fe"; inference="pair_plus_year_cluster"; term="gpr_x_depth_strict_l1_10"</x:v>
      </x:c>
      <x:c r="AC35" s="25" t="str">
        <x:v>Appendix</x:v>
      </x:c>
      <x:c r="AD35" s="25" t="str">
        <x:v>Not drafted</x:v>
      </x:c>
    </x:row>
    <x:row r="36">
      <x:c r="A36" s="25" t="str">
        <x:v>M35</x:v>
      </x:c>
      <x:c r="B36" s="25" t="str">
        <x:v>Extensions</x:v>
      </x:c>
      <x:c r="C36" s="25" t="str">
        <x:v>Appendix Table A3</x:v>
      </x:c>
      <x:c r="D36" s="25" t="str">
        <x:v>Extension</x:v>
      </x:c>
      <x:c r="E36" s="25" t="str">
        <x:v>Post-exit recovery</x:v>
      </x:c>
      <x:c r="F36" s="25" t="str">
        <x:v>One-year re-entry</x:v>
      </x:c>
      <x:c r="G36" s="25" t="str">
        <x:v>Exit-event recovery panel</x:v>
      </x:c>
      <x:c r="H36" s="25" t="str">
        <x:v>LPM</x:v>
      </x:c>
      <x:c r="I36" s="25" t="str">
        <x:v>Global mean GPR</x:v>
      </x:c>
      <x:c r="J36" s="25" t="str">
        <x:v>pair_hs2_fe recovery model</x:v>
      </x:c>
      <x:c r="K36" s="25" t="str">
        <x:v>GPR × DTA depth</x:v>
      </x:c>
      <x:c r="L36" s="36" t="n">
        <x:v>-0.000131803244614262</x:v>
      </x:c>
      <x:c r="M36" s="36" t="n">
        <x:v>-0.0131803244614262</x:v>
      </x:c>
      <x:c r="N36" s="36" t="str">
        <x:v>percentage points</x:v>
      </x:c>
      <x:c r="O36" s="36" t="n">
        <x:v>0.00212141958117699</x:v>
      </x:c>
      <x:c r="P36" s="36" t="n">
        <x:v>0.951337812003992</x:v>
      </x:c>
      <x:c r="Q36" s="36" t="str">
        <x:f>IF(P36&lt;0.01,"***",IF(P36&lt;0.05,"**",IF(P36&lt;0.1,"*","")))</x:f>
      </x:c>
      <x:c r="R36" s="36" t="n">
        <x:v>-0.428978562372116</x:v>
      </x:c>
      <x:c r="S36" s="36" t="n">
        <x:v>0.402617913449263</x:v>
      </x:c>
      <x:c r="T36" s="36"/>
      <x:c r="U36" s="25" t="str">
        <x:f>IF(T36="","",IF(T36&lt;0.01,"***",IF(T36&lt;0.05,"**",IF(T36&lt;0.1,"*",""))))</x:f>
      </x:c>
      <x:c r="V36" s="38" t="n">
        <x:v>839585</x:v>
      </x:c>
      <x:c r="W36" s="25" t="str">
        <x:v>Pair–HS2; exporter–exit-year; importer–exit-year; HS2–exit-year</x:v>
      </x:c>
      <x:c r="X36" s="25" t="str">
        <x:v>Unordered pair + exit year</x:v>
      </x:c>
      <x:c r="Y36" s="25" t="str">
        <x:v>Null</x:v>
      </x:c>
      <x:c r="Z36" s="25" t="str">
        <x:v>The one-year result disappears under stringent pair–HS2 fixed effects.</x:v>
      </x:c>
      <x:c r="AA36" s="25" t="str">
        <x:v>outputs/tables/step14b_recovery_interactions.csv</x:v>
      </x:c>
      <x:c r="AB36" s="25" t="str">
        <x:v>outcome="reenter_1y"; fe_spec="pair_hs2_fe"; inference="pair_plus_year_cluster"; term="gpr_x_depth_strict_l1_10"</x:v>
      </x:c>
      <x:c r="AC36" s="25" t="str">
        <x:v>Appendix</x:v>
      </x:c>
      <x:c r="AD36" s="25" t="str">
        <x:v>Not drafted</x:v>
      </x:c>
    </x:row>
    <x:row r="37">
      <x:c r="A37" s="25" t="str">
        <x:v>M36</x:v>
      </x:c>
      <x:c r="B37" s="25" t="str">
        <x:v>Extensions</x:v>
      </x:c>
      <x:c r="C37" s="25" t="str">
        <x:v>Appendix Table A3</x:v>
      </x:c>
      <x:c r="D37" s="25" t="str">
        <x:v>Extension</x:v>
      </x:c>
      <x:c r="E37" s="25" t="str">
        <x:v>Post-exit recovery</x:v>
      </x:c>
      <x:c r="F37" s="25" t="str">
        <x:v>Two-year re-entry</x:v>
      </x:c>
      <x:c r="G37" s="25" t="str">
        <x:v>Exit-event recovery panel</x:v>
      </x:c>
      <x:c r="H37" s="25" t="str">
        <x:v>LPM</x:v>
      </x:c>
      <x:c r="I37" s="25" t="str">
        <x:v>Global mean GPR</x:v>
      </x:c>
      <x:c r="J37" s="25" t="str">
        <x:v>directed_pair_fe recovery model</x:v>
      </x:c>
      <x:c r="K37" s="25" t="str">
        <x:v>GPR × DTA depth</x:v>
      </x:c>
      <x:c r="L37" s="36" t="n">
        <x:v>0.0000974506609614028</x:v>
      </x:c>
      <x:c r="M37" s="36" t="n">
        <x:v>0.00974506609614028</x:v>
      </x:c>
      <x:c r="N37" s="36" t="str">
        <x:v>percentage points</x:v>
      </x:c>
      <x:c r="O37" s="36" t="n">
        <x:v>0.00351471817467432</x:v>
      </x:c>
      <x:c r="P37" s="36" t="n">
        <x:v>0.978301446407235</x:v>
      </x:c>
      <x:c r="Q37" s="36" t="str">
        <x:f>IF(P37&lt;0.01,"***",IF(P37&lt;0.05,"**",IF(P37&lt;0.1,"*","")))</x:f>
      </x:c>
      <x:c r="R37" s="36" t="n">
        <x:v>-0.679139696140026</x:v>
      </x:c>
      <x:c r="S37" s="36" t="n">
        <x:v>0.698629828332306</x:v>
      </x:c>
      <x:c r="T37" s="36"/>
      <x:c r="U37" s="25" t="str">
        <x:f>IF(T37="","",IF(T37&lt;0.01,"***",IF(T37&lt;0.05,"**",IF(T37&lt;0.1,"*",""))))</x:f>
      </x:c>
      <x:c r="V37" s="38" t="n">
        <x:v>1064542</x:v>
      </x:c>
      <x:c r="W37" s="25" t="str">
        <x:v>Directed-pair; exporter–exit-year; importer–exit-year; HS2–exit-year</x:v>
      </x:c>
      <x:c r="X37" s="25" t="str">
        <x:v>Unordered pair + exit year</x:v>
      </x:c>
      <x:c r="Y37" s="25" t="str">
        <x:v>Null</x:v>
      </x:c>
      <x:c r="Z37" s="25" t="str">
        <x:v>No detectable depth effect on re-entry within two years.</x:v>
      </x:c>
      <x:c r="AA37" s="25" t="str">
        <x:v>outputs/tables/step14b_recovery_interactions.csv</x:v>
      </x:c>
      <x:c r="AB37" s="25" t="str">
        <x:v>outcome="reenter_within_2y"; fe_spec="directed_pair_fe"; inference="pair_plus_year_cluster"; term="gpr_x_depth_strict_l1_10"</x:v>
      </x:c>
      <x:c r="AC37" s="25" t="str">
        <x:v>Appendix</x:v>
      </x:c>
      <x:c r="AD37" s="25" t="str">
        <x:v>Not drafted</x:v>
      </x:c>
    </x:row>
    <x:row r="38">
      <x:c r="A38" s="25" t="str">
        <x:v>M37</x:v>
      </x:c>
      <x:c r="B38" s="25" t="str">
        <x:v>Extensions</x:v>
      </x:c>
      <x:c r="C38" s="25" t="str">
        <x:v>Appendix Table A3</x:v>
      </x:c>
      <x:c r="D38" s="25" t="str">
        <x:v>Extension</x:v>
      </x:c>
      <x:c r="E38" s="25" t="str">
        <x:v>Post-exit recovery</x:v>
      </x:c>
      <x:c r="F38" s="25" t="str">
        <x:v>Full recovery within two years</x:v>
      </x:c>
      <x:c r="G38" s="25" t="str">
        <x:v>Exit-event recovery panel</x:v>
      </x:c>
      <x:c r="H38" s="25" t="str">
        <x:v>LPM</x:v>
      </x:c>
      <x:c r="I38" s="25" t="str">
        <x:v>Global mean GPR</x:v>
      </x:c>
      <x:c r="J38" s="25" t="str">
        <x:v>directed_pair_fe recovery model</x:v>
      </x:c>
      <x:c r="K38" s="25" t="str">
        <x:v>GPR × DTA depth</x:v>
      </x:c>
      <x:c r="L38" s="36" t="n">
        <x:v>-0.000221602506774755</x:v>
      </x:c>
      <x:c r="M38" s="36" t="n">
        <x:v>-0.0221602506774755</x:v>
      </x:c>
      <x:c r="N38" s="36" t="str">
        <x:v>percentage points</x:v>
      </x:c>
      <x:c r="O38" s="36" t="n">
        <x:v>0.00356800442337403</x:v>
      </x:c>
      <x:c r="P38" s="36" t="n">
        <x:v>0.951421384838527</x:v>
      </x:c>
      <x:c r="Q38" s="36" t="str">
        <x:f>IF(P38&lt;0.01,"***",IF(P38&lt;0.05,"**",IF(P38&lt;0.1,"*","")))</x:f>
      </x:c>
      <x:c r="R38" s="36" t="n">
        <x:v>-0.721489117658785</x:v>
      </x:c>
      <x:c r="S38" s="36" t="n">
        <x:v>0.677168616303834</x:v>
      </x:c>
      <x:c r="T38" s="36"/>
      <x:c r="U38" s="25" t="str">
        <x:f>IF(T38="","",IF(T38&lt;0.01,"***",IF(T38&lt;0.05,"**",IF(T38&lt;0.1,"*",""))))</x:f>
      </x:c>
      <x:c r="V38" s="38" t="n">
        <x:v>1064542</x:v>
      </x:c>
      <x:c r="W38" s="25" t="str">
        <x:v>Directed-pair; exporter–exit-year; importer–exit-year; HS2–exit-year</x:v>
      </x:c>
      <x:c r="X38" s="25" t="str">
        <x:v>Unordered pair + exit year</x:v>
      </x:c>
      <x:c r="Y38" s="25" t="str">
        <x:v>Null</x:v>
      </x:c>
      <x:c r="Z38" s="25" t="str">
        <x:v>No detectable depth effect on full value recovery within two years.</x:v>
      </x:c>
      <x:c r="AA38" s="25" t="str">
        <x:v>outputs/tables/step14b_recovery_interactions.csv</x:v>
      </x:c>
      <x:c r="AB38" s="25" t="str">
        <x:v>outcome="full_recovery_within_2y"; fe_spec="directed_pair_fe"; inference="pair_plus_year_cluster"; term="gpr_x_depth_strict_l1_10"</x:v>
      </x:c>
      <x:c r="AC38" s="25" t="str">
        <x:v>Appendix</x:v>
      </x:c>
      <x:c r="AD38" s="25" t="str">
        <x:v>Not drafted</x:v>
      </x:c>
    </x:row>
    <x:row r="39">
      <x:c r="A39" s="25" t="str">
        <x:v>M38</x:v>
      </x:c>
      <x:c r="B39" s="25" t="str">
        <x:v>Extensions</x:v>
      </x:c>
      <x:c r="C39" s="25" t="str">
        <x:v>Appendix Table A1</x:v>
      </x:c>
      <x:c r="D39" s="25" t="str">
        <x:v>Extension</x:v>
      </x:c>
      <x:c r="E39" s="25" t="str">
        <x:v>Agreement bundles</x:v>
      </x:c>
      <x:c r="F39" s="25" t="str">
        <x:v>Intermediate-goods trade value</x:v>
      </x:c>
      <x:c r="G39" s="25" t="str">
        <x:v>Full global HS2 panel</x:v>
      </x:c>
      <x:c r="H39" s="25" t="str">
        <x:v>PPML</x:v>
      </x:c>
      <x:c r="I39" s="25" t="str">
        <x:v>Global mean GPR</x:v>
      </x:c>
      <x:c r="J39" s="25" t="str">
        <x:v>Environmental bundle conditional on FTA</x:v>
      </x:c>
      <x:c r="K39" s="25" t="str">
        <x:v>GPR × environmental bundle</x:v>
      </x:c>
      <x:c r="L39" s="36" t="n">
        <x:v>0.03835823407532</x:v>
      </x:c>
      <x:c r="M39" s="36" t="n">
        <x:v>3.91034084602215</x:v>
      </x:c>
      <x:c r="N39" s="36" t="str">
        <x:v>percent</x:v>
      </x:c>
      <x:c r="O39" s="36" t="n">
        <x:v>0.0194751724038354</x:v>
      </x:c>
      <x:c r="P39" s="36" t="n">
        <x:v>0.0488846173656513</x:v>
      </x:c>
      <x:c r="Q39" s="36" t="str">
        <x:f>IF(P39&lt;0.01,"***",IF(P39&lt;0.05,"**",IF(P39&lt;0.1,"*","")))</x:f>
        <x:v>**</x:v>
      </x:c>
      <x:c r="R39" s="36" t="n">
        <x:v>0.0186913629978802</x:v>
      </x:c>
      <x:c r="S39" s="36" t="n">
        <x:v>7.95341138337473</x:v>
      </x:c>
      <x:c r="T39" s="36" t="n">
        <x:v>0.244423086828257</x:v>
      </x:c>
      <x:c r="U39" s="25" t="str">
        <x:f>IF(T39="","",IF(T39&lt;0.01,"***",IF(T39&lt;0.05,"**",IF(T39&lt;0.1,"*",""))))</x:f>
      </x:c>
      <x:c r="V39" s="38" t="n">
        <x:v>16752356</x:v>
      </x:c>
      <x:c r="W39" s="25" t="str">
        <x:v>Pair–HS2; exporter–year; importer–year; HS2–year</x:v>
      </x:c>
      <x:c r="X39" s="25" t="str">
        <x:v>Unordered pair + year</x:v>
      </x:c>
      <x:c r="Y39" s="25" t="str">
        <x:v>Not FDR-robust</x:v>
      </x:c>
      <x:c r="Z39" s="25" t="str">
        <x:v>Environmental provisions are suggestive only; no bundle survives BH-FDR correction.</x:v>
      </x:c>
      <x:c r="AA39" s="25" t="str">
        <x:v>outputs/tables/step12b_mechanism_bundle_coefficients.csv</x:v>
      </x:c>
      <x:c r="AB39" s="25" t="str">
        <x:v>bundle="environmental"; model_spec="conditional_on_fta"; inference="pair_plus_year_cluster"</x:v>
      </x:c>
      <x:c r="AC39" s="25" t="str">
        <x:v>Appendix</x:v>
      </x:c>
      <x:c r="AD39" s="25" t="str">
        <x:v>Not drafted</x:v>
      </x:c>
    </x:row>
    <x:row r="40">
      <x:c r="A40" s="25" t="str">
        <x:v>M39</x:v>
      </x:c>
      <x:c r="B40" s="25" t="str">
        <x:v>Extensions</x:v>
      </x:c>
      <x:c r="C40" s="25" t="str">
        <x:v>Appendix Table A2</x:v>
      </x:c>
      <x:c r="D40" s="25" t="str">
        <x:v>Extension</x:v>
      </x:c>
      <x:c r="E40" s="25" t="str">
        <x:v>Individual provisions</x:v>
      </x:c>
      <x:c r="F40" s="25" t="str">
        <x:v>Intermediate-goods trade value</x:v>
      </x:c>
      <x:c r="G40" s="25" t="str">
        <x:v>Full global HS2 panel</x:v>
      </x:c>
      <x:c r="H40" s="25" t="str">
        <x:v>PPML</x:v>
      </x:c>
      <x:c r="I40" s="25" t="str">
        <x:v>Global mean GPR</x:v>
      </x:c>
      <x:c r="J40" s="25" t="str">
        <x:v>Environmental laws provision screen</x:v>
      </x:c>
      <x:c r="K40" s="25" t="str">
        <x:v>GPR × environmental laws</x:v>
      </x:c>
      <x:c r="L40" s="36" t="n">
        <x:v>0.03835823407532</x:v>
      </x:c>
      <x:c r="M40" s="36" t="n">
        <x:v>3.91034084602215</x:v>
      </x:c>
      <x:c r="N40" s="36" t="str">
        <x:v>percent</x:v>
      </x:c>
      <x:c r="O40" s="36" t="n">
        <x:v>0.0194751724038354</x:v>
      </x:c>
      <x:c r="P40" s="36" t="n">
        <x:v>0.0488846173656513</x:v>
      </x:c>
      <x:c r="Q40" s="36" t="str">
        <x:f>IF(P40&lt;0.01,"***",IF(P40&lt;0.05,"**",IF(P40&lt;0.1,"*","")))</x:f>
        <x:v>**</x:v>
      </x:c>
      <x:c r="R40" s="36" t="n">
        <x:v>0.0186913629978802</x:v>
      </x:c>
      <x:c r="S40" s="36" t="n">
        <x:v>7.95341138337473</x:v>
      </x:c>
      <x:c r="T40" s="36" t="n">
        <x:v>0.228128214373039</x:v>
      </x:c>
      <x:c r="U40" s="25" t="str">
        <x:f>IF(T40="","",IF(T40&lt;0.01,"***",IF(T40&lt;0.05,"**",IF(T40&lt;0.1,"*",""))))</x:f>
      </x:c>
      <x:c r="V40" s="38" t="n">
        <x:v>16752356</x:v>
      </x:c>
      <x:c r="W40" s="25" t="str">
        <x:v>Pair–HS2; exporter–year; importer–year; HS2–year</x:v>
      </x:c>
      <x:c r="X40" s="25" t="str">
        <x:v>Unordered pair + year</x:v>
      </x:c>
      <x:c r="Y40" s="25" t="str">
        <x:v>Not FDR-robust</x:v>
      </x:c>
      <x:c r="Z40" s="25" t="str">
        <x:v>The strongest individual-provision signal does not survive BH-FDR correction; zero provisions are confirmatory channels.</x:v>
      </x:c>
      <x:c r="AA40" s="25" t="str">
        <x:v>outputs/tables/step12c_individual_provision_coefficients.csv</x:v>
      </x:c>
      <x:c r="AB40" s="25" t="str">
        <x:v>provision="EnvironmentalLaws"; inference="pair_plus_year_cluster"</x:v>
      </x:c>
      <x:c r="AC40" s="25" t="str">
        <x:v>Appendix</x:v>
      </x:c>
      <x:c r="AD40" s="25" t="str">
        <x:v>Not drafted</x:v>
      </x:c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</x:sheetData>
  <x:conditionalFormatting sqref="P2:P40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T2:T40">
    <x:cfRule type="colorScale" priority="2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conditionalFormatting sqref="M2:M40">
    <x:cfRule type="expression" dxfId="0" priority="3">
      <x:formula>M2&lt;0</x:formula>
    </x:cfRule>
  </x:conditionalFormatting>
  <x:dataValidations count="3">
    <x:dataValidation type="list" sqref="D2:D40">
      <x:formula1>"Core,Secondary,Extension"</x:formula1>
    </x:dataValidation>
    <x:dataValidation type="list" sqref="AC2:AC40">
      <x:formula1>"Main text,Appendix,Do not use"</x:formula1>
    </x:dataValidation>
    <x:dataValidation type="list" sqref="AD2:AD40">
      <x:formula1>"Not drafted,Drafted,Checked,Final"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90fa39e43e4b8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44" hidden="0" customWidth="1"/>
    <x:col min="4" max="4" width="34" hidden="0" customWidth="1"/>
    <x:col min="5" max="5" width="30" hidden="0" customWidth="1"/>
    <x:col min="6" max="6" width="25" hidden="0" customWidth="1"/>
    <x:col min="7" max="7" width="44" hidden="0" customWidth="1"/>
  </x:cols>
  <x:sheetData>
    <x:row r="1">
      <x:c r="A1" s="31" t="str">
        <x:v>Paper_Item</x:v>
      </x:c>
      <x:c r="B1" s="31" t="str">
        <x:v>Role</x:v>
      </x:c>
      <x:c r="C1" s="31" t="str">
        <x:v>Main_Source</x:v>
      </x:c>
      <x:c r="D1" s="31" t="str">
        <x:v>Exact_Filter</x:v>
      </x:c>
      <x:c r="E1" s="31" t="str">
        <x:v>Rows_to_Report</x:v>
      </x:c>
      <x:c r="F1" s="31" t="str">
        <x:v>Preferred_Inference</x:v>
      </x:c>
      <x:c r="G1" s="31" t="str">
        <x:v>Notes</x:v>
      </x:c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25" t="str">
        <x:v>Table 1. Data and sample</x:v>
      </x:c>
      <x:c r="B2" s="25" t="str">
        <x:v>Main text</x:v>
      </x:c>
      <x:c r="C2" s="25" t="str">
        <x:v>outputs/audit/step10a_compact_hs2_summary.csv; step13a_hs2_survival_summary.csv; step14a_hs2_recovery_summary.csv</x:v>
      </x:c>
      <x:c r="D2" s="25" t="str">
        <x:v>Use full audit rows</x:v>
      </x:c>
      <x:c r="E2" s="25" t="str">
        <x:v>Sample coverage, zero share, survival and recovery rates</x:v>
      </x:c>
      <x:c r="F2" s="25" t="str">
        <x:v>Descriptive</x:v>
      </x:c>
      <x:c r="G2" s="25" t="str">
        <x:v>Do not mix estimation N with raw panel N.</x:v>
      </x:c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25" t="str">
        <x:v>Table 2. Variable definitions</x:v>
      </x:c>
      <x:c r="B3" s="25" t="str">
        <x:v>Main text</x:v>
      </x:c>
      <x:c r="C3" s="25" t="str">
        <x:v>Data-construction scripts and source documentation</x:v>
      </x:c>
      <x:c r="D3" s="25" t="str">
        <x:v>One row per variable</x:v>
      </x:c>
      <x:c r="E3" s="25" t="str">
        <x:v>Outcome, treatment, moderator, controls, sources, transformations</x:v>
      </x:c>
      <x:c r="F3" s="25" t="str">
        <x:v>Not applicable</x:v>
      </x:c>
      <x:c r="G3" s="25" t="str">
        <x:v>Write manually; do not pull coefficients here.</x:v>
      </x:c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>
      <x:c r="A4" s="25" t="str">
        <x:v>Table 3. Baseline PPML</x:v>
      </x:c>
      <x:c r="B4" s="25" t="str">
        <x:v>Main text</x:v>
      </x:c>
      <x:c r="C4" s="25" t="str">
        <x:v>outputs/tables/step10b_hs2_core_coefficients.csv; step10c_hs2_robustness_coefficients.csv</x:v>
      </x:c>
      <x:c r="D4" s="25" t="str">
        <x:v>inference="pair_plus_year_cluster"; select M01–M04</x:v>
      </x:c>
      <x:c r="E4" s="25" t="str">
        <x:v>FTA-only, depth-only and joint interactions</x:v>
      </x:c>
      <x:c r="F4" s="25" t="str">
        <x:v>Unordered pair + year</x:v>
      </x:c>
      <x:c r="G4" s="25" t="str">
        <x:v>Use coefficient, SE, p-value, N and FE notes.</x:v>
      </x:c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25" t="str">
        <x:v>Table 4. Sector heterogeneity</x:v>
      </x:c>
      <x:c r="B5" s="25" t="str">
        <x:v>Main text</x:v>
      </x:c>
      <x:c r="C5" s="25" t="str">
        <x:v>outputs/tables/step11_hs2_sector_coefficients.csv</x:v>
      </x:c>
      <x:c r="D5" s="25" t="str">
        <x:v>inference="pair_plus_year_cluster"; use FDR_P; select M05–M14</x:v>
      </x:c>
      <x:c r="E5" s="25" t="str">
        <x:v>Five aligned negative sectors; FTA and depth</x:v>
      </x:c>
      <x:c r="F5" s="25" t="str">
        <x:v>Unordered pair + year; BH-FDR</x:v>
      </x:c>
      <x:c r="G5" s="25" t="str">
        <x:v>Mention minerals/fuels positive depth only in appendix.</x:v>
      </x:c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25" t="str">
        <x:v>Table 5. Link survival</x:v>
      </x:c>
      <x:c r="B6" s="25" t="str">
        <x:v>Main text</x:v>
      </x:c>
      <x:c r="C6" s="25" t="str">
        <x:v>outputs/tables/step13c_survival_robustness_coefficients.csv</x:v>
      </x:c>
      <x:c r="D6" s="25" t="str">
        <x:v>sample="full_2008_2023"; shock="mean_gpr"; select M15–M16</x:v>
      </x:c>
      <x:c r="E6" s="25" t="str">
        <x:v>Joint FTA and depth interactions</x:v>
      </x:c>
      <x:c r="F6" s="25" t="str">
        <x:v>Unordered pair + year</x:v>
      </x:c>
      <x:c r="G6" s="25" t="str">
        <x:v>Depth coefficient is the central result.</x:v>
      </x:c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25" t="str">
        <x:v>Table 6. Robustness</x:v>
      </x:c>
      <x:c r="B7" s="25" t="str">
        <x:v>Main text</x:v>
      </x:c>
      <x:c r="C7" s="25" t="str">
        <x:v>step13c; step15a; step15c coefficient CSVs</x:v>
      </x:c>
      <x:c r="D7" s="25" t="str">
        <x:v>Select M17–M33 as needed</x:v>
      </x:c>
      <x:c r="E7" s="25" t="str">
        <x:v>Alternative GPR, established links, FTA-only, country GPR</x:v>
      </x:c>
      <x:c r="F7" s="25" t="str">
        <x:v>Unordered pair + year</x:v>
      </x:c>
      <x:c r="G7" s="25" t="str">
        <x:v>Keep table compact; move remaining rows to appendix.</x:v>
      </x:c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25" t="str">
        <x:v>Appendix Table A1. Bundles</x:v>
      </x:c>
      <x:c r="B8" s="25" t="str">
        <x:v>Appendix</x:v>
      </x:c>
      <x:c r="C8" s="25" t="str">
        <x:v>outputs/tables/step12b_mechanism_bundle_coefficients.csv</x:v>
      </x:c>
      <x:c r="D8" s="25" t="str">
        <x:v>model_spec="conditional_on_fta"; report raw and BH-FDR p-values</x:v>
      </x:c>
      <x:c r="E8" s="25" t="str">
        <x:v>All five bundles</x:v>
      </x:c>
      <x:c r="F8" s="25" t="str">
        <x:v>Unordered pair + year</x:v>
      </x:c>
      <x:c r="G8" s="25" t="str">
        <x:v>State zero FDR survivors.</x:v>
      </x:c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25" t="str">
        <x:v>Appendix Table A2. Provisions</x:v>
      </x:c>
      <x:c r="B9" s="25" t="str">
        <x:v>Appendix</x:v>
      </x:c>
      <x:c r="C9" s="25" t="str">
        <x:v>outputs/tables/step12c_individual_provision_coefficients.csv</x:v>
      </x:c>
      <x:c r="D9" s="25" t="str">
        <x:v>inference="pair_plus_year_cluster"; report all 14 provisions</x:v>
      </x:c>
      <x:c r="E9" s="25" t="str">
        <x:v>All screened provisions</x:v>
      </x:c>
      <x:c r="F9" s="25" t="str">
        <x:v>Unordered pair + year; BH-FDR</x:v>
      </x:c>
      <x:c r="G9" s="25" t="str">
        <x:v>State zero FDR survivors.</x:v>
      </x:c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25" t="str">
        <x:v>Appendix Table A3. Recovery</x:v>
      </x:c>
      <x:c r="B10" s="25" t="str">
        <x:v>Appendix</x:v>
      </x:c>
      <x:c r="C10" s="25" t="str">
        <x:v>outputs/tables/step14b_recovery_interactions.csv; step14b_recovery_net_effects.csv</x:v>
      </x:c>
      <x:c r="D10" s="25" t="str">
        <x:v>Select M34–M37; include directed-pair and pair–HS2 FE</x:v>
      </x:c>
      <x:c r="E10" s="25" t="str">
        <x:v>One-year, two-year and full recovery</x:v>
      </x:c>
      <x:c r="F10" s="25" t="str">
        <x:v>Unordered pair + exit year</x:v>
      </x:c>
      <x:c r="G10" s="25" t="str">
        <x:v>Treat one-year negative result as exploratory.</x:v>
      </x:c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25" t="str">
        <x:v>Appendix Figure A1. Leave-one-year-out</x:v>
      </x:c>
      <x:c r="B11" s="25" t="str">
        <x:v>Appendix</x:v>
      </x:c>
      <x:c r="C11" s="25" t="str">
        <x:v>outputs/tables/step13c_survival_leave_one_year_out.csv</x:v>
      </x:c>
      <x:c r="D11" s="25" t="str">
        <x:v>term="shock_x_depth"; inference="pair_plus_year_cluster"</x:v>
      </x:c>
      <x:c r="E11" s="25" t="str">
        <x:v>Coefficient and 95% CI by excluded year</x:v>
      </x:c>
      <x:c r="F11" s="25" t="str">
        <x:v>Unordered pair + year</x:v>
      </x:c>
      <x:c r="G11" s="25" t="str">
        <x:v>All 16 estimates should remain negative.</x:v>
      </x:c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</x:sheetData>
  <x:pageMargins left="0.7" right="0.7" top="0.75" bottom="0.75" header="0.3" footer="0.3"/>
  <x:tableParts count="1">
    <x:tablePart xmlns:r="http://schemas.openxmlformats.org/officeDocument/2006/relationships" r:id="R386dee1efea042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34" hidden="0" customWidth="1"/>
    <x:col min="4" max="4" width="46" hidden="0" customWidth="1"/>
    <x:col min="5" max="5" width="50" hidden="0" customWidth="1"/>
    <x:col min="6" max="6" width="24" hidden="0" customWidth="1"/>
  </x:cols>
  <x:sheetData>
    <x:row r="1">
      <x:c r="A1" s="31" t="str">
        <x:v>Source_File</x:v>
      </x:c>
      <x:c r="B1" s="31" t="str">
        <x:v>Project_Path</x:v>
      </x:c>
      <x:c r="C1" s="31" t="str">
        <x:v>Purpose</x:v>
      </x:c>
      <x:c r="D1" s="31" t="str">
        <x:v>Key_Columns</x:v>
      </x:c>
      <x:c r="E1" s="31" t="str">
        <x:v>How_to_Filter</x:v>
      </x:c>
      <x:c r="F1" s="31" t="str">
        <x:v>Feeds</x:v>
      </x:c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25" t="str">
        <x:v>step10b_hs2_core_coefficients.csv</x:v>
      </x:c>
      <x:c r="B2" s="25" t="str">
        <x:v>outputs/tables/</x:v>
      </x:c>
      <x:c r="C2" s="25" t="str">
        <x:v>Separate FTA and depth baseline PPML</x:v>
      </x:c>
      <x:c r="D2" s="25" t="str">
        <x:v>model, inference, term, estimate, std_error, p_value, percent_effect, nobs</x:v>
      </x:c>
      <x:c r="E2" s="25" t="str">
        <x:v>Use inference="pair_plus_year_cluster"</x:v>
      </x:c>
      <x:c r="F2" s="25" t="str">
        <x:v>Table 3</x:v>
      </x:c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25" t="str">
        <x:v>step10c_hs2_robustness_coefficients.csv</x:v>
      </x:c>
      <x:c r="B3" s="25" t="str">
        <x:v>outputs/tables/</x:v>
      </x:c>
      <x:c r="C3" s="25" t="str">
        <x:v>Joint FTA + depth and trade-value robustness</x:v>
      </x:c>
      <x:c r="D3" s="25" t="str">
        <x:v>model, inference, term, percent_effect</x:v>
      </x:c>
      <x:c r="E3" s="25" t="str">
        <x:v>Use model and term filters</x:v>
      </x:c>
      <x:c r="F3" s="25" t="str">
        <x:v>Table 3 / Table 6</x:v>
      </x:c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>
      <x:c r="A4" s="25" t="str">
        <x:v>step11_hs2_sector_coefficients.csv</x:v>
      </x:c>
      <x:c r="B4" s="25" t="str">
        <x:v>outputs/tables/</x:v>
      </x:c>
      <x:c r="C4" s="25" t="str">
        <x:v>Sector heterogeneity with BH-FDR</x:v>
      </x:c>
      <x:c r="D4" s="25" t="str">
        <x:v>sector_name, model, inference, term, percent_effect, p_value_fdr_bh</x:v>
      </x:c>
      <x:c r="E4" s="25" t="str">
        <x:v>Use inference="pair_plus_year_cluster"; inspect p_value_fdr_bh</x:v>
      </x:c>
      <x:c r="F4" s="25" t="str">
        <x:v>Table 4 / Figure 3</x:v>
      </x:c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25" t="str">
        <x:v>step12b_mechanism_bundle_coefficients.csv</x:v>
      </x:c>
      <x:c r="B5" s="25" t="str">
        <x:v>outputs/tables/</x:v>
      </x:c>
      <x:c r="C5" s="25" t="str">
        <x:v>Broad agreement bundles</x:v>
      </x:c>
      <x:c r="D5" s="25" t="str">
        <x:v>bundle, model_spec, inference, percent_effect_full_bundle, p_value_fdr_bh</x:v>
      </x:c>
      <x:c r="E5" s="25" t="str">
        <x:v>Use model_spec="conditional_on_fta"</x:v>
      </x:c>
      <x:c r="F5" s="25" t="str">
        <x:v>Appendix A1</x:v>
      </x:c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25" t="str">
        <x:v>step12c_individual_provision_coefficients.csv</x:v>
      </x:c>
      <x:c r="B6" s="25" t="str">
        <x:v>outputs/tables/</x:v>
      </x:c>
      <x:c r="C6" s="25" t="str">
        <x:v>Individual enforceable provisions</x:v>
      </x:c>
      <x:c r="D6" s="25" t="str">
        <x:v>provision, inference, percent_effect, p_value_fdr_bh</x:v>
      </x:c>
      <x:c r="E6" s="25" t="str">
        <x:v>Use inference="pair_plus_year_cluster"</x:v>
      </x:c>
      <x:c r="F6" s="25" t="str">
        <x:v>Appendix A2</x:v>
      </x:c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25" t="str">
        <x:v>step13a_hs2_survival_summary.csv</x:v>
      </x:c>
      <x:c r="B7" s="25" t="str">
        <x:v>outputs/audit/</x:v>
      </x:c>
      <x:c r="C7" s="25" t="str">
        <x:v>Survival descriptive statistics</x:v>
      </x:c>
      <x:c r="D7" s="25" t="str">
        <x:v>at_risk_rows, survival_rate, exit_rate, clusters</x:v>
      </x:c>
      <x:c r="E7" s="25" t="str">
        <x:v>Use the single summary row</x:v>
      </x:c>
      <x:c r="F7" s="25" t="str">
        <x:v>Table 1 / text</x:v>
      </x:c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25" t="str">
        <x:v>step13c_survival_robustness_coefficients.csv</x:v>
      </x:c>
      <x:c r="B8" s="25" t="str">
        <x:v>outputs/tables/</x:v>
      </x:c>
      <x:c r="C8" s="25" t="str">
        <x:v>Main and alternative survival models</x:v>
      </x:c>
      <x:c r="D8" s="25" t="str">
        <x:v>model, shock, sample, inference, term, effect_percentage_points, p_value</x:v>
      </x:c>
      <x:c r="E8" s="25" t="str">
        <x:v>Use term="shock_x_depth" or "shock_x_fta"</x:v>
      </x:c>
      <x:c r="F8" s="25" t="str">
        <x:v>Table 5 / Table 6</x:v>
      </x:c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25" t="str">
        <x:v>step13c_survival_leave_one_year_out.csv</x:v>
      </x:c>
      <x:c r="B9" s="25" t="str">
        <x:v>outputs/tables/</x:v>
      </x:c>
      <x:c r="C9" s="25" t="str">
        <x:v>Leave-one-year-out survival robustness</x:v>
      </x:c>
      <x:c r="D9" s="25" t="str">
        <x:v>excluded_year, inference, term, estimate, CI, p_value</x:v>
      </x:c>
      <x:c r="E9" s="25" t="str">
        <x:v>Use term="shock_x_depth"; pair_plus_year_cluster</x:v>
      </x:c>
      <x:c r="F9" s="25" t="str">
        <x:v>Appendix Figure A1</x:v>
      </x:c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25" t="str">
        <x:v>step14a_hs2_recovery_summary.csv</x:v>
      </x:c>
      <x:c r="B10" s="25" t="str">
        <x:v>outputs/audit/</x:v>
      </x:c>
      <x:c r="C10" s="25" t="str">
        <x:v>Recovery descriptive statistics</x:v>
      </x:c>
      <x:c r="D10" s="25" t="str">
        <x:v>exit_events, reentry rates, full-recovery rates</x:v>
      </x:c>
      <x:c r="E10" s="25" t="str">
        <x:v>Use the single summary row</x:v>
      </x:c>
      <x:c r="F10" s="25" t="str">
        <x:v>Table 1 / text</x:v>
      </x:c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25" t="str">
        <x:v>step14b_recovery_interactions.csv</x:v>
      </x:c>
      <x:c r="B11" s="25" t="str">
        <x:v>outputs/tables/</x:v>
      </x:c>
      <x:c r="C11" s="25" t="str">
        <x:v>Post-exit recovery models</x:v>
      </x:c>
      <x:c r="D11" s="25" t="str">
        <x:v>outcome, fe_spec, inference, term, effect_percentage_points, p_value</x:v>
      </x:c>
      <x:c r="E11" s="25" t="str">
        <x:v>Use inference="pair_plus_year_cluster"</x:v>
      </x:c>
      <x:c r="F11" s="25" t="str">
        <x:v>Appendix A3</x:v>
      </x:c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25" t="str">
        <x:v>step15a_fta_only_depth_coefficients.csv</x:v>
      </x:c>
      <x:c r="B12" s="25" t="str">
        <x:v>outputs/tables/</x:v>
      </x:c>
      <x:c r="C12" s="25" t="str">
        <x:v>FTA-only depth robustness</x:v>
      </x:c>
      <x:c r="D12" s="25" t="str">
        <x:v>model, outcome_type, inference, effect, p_value</x:v>
      </x:c>
      <x:c r="E12" s="25" t="str">
        <x:v>Use inference="pair_plus_year_cluster"</x:v>
      </x:c>
      <x:c r="F12" s="25" t="str">
        <x:v>Table 6</x:v>
      </x:c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25" t="str">
        <x:v>step15b_country_gpr_panel_summary.csv</x:v>
      </x:c>
      <x:c r="B13" s="25" t="str">
        <x:v>outputs/audit/</x:v>
      </x:c>
      <x:c r="C13" s="25" t="str">
        <x:v>Country-GPR restricted-sample coverage</x:v>
      </x:c>
      <x:c r="D13" s="25" t="str">
        <x:v>panel, rows, clusters, retained share, survival rate</x:v>
      </x:c>
      <x:c r="E13" s="25" t="str">
        <x:v>Use both panel rows</x:v>
      </x:c>
      <x:c r="F13" s="25" t="str">
        <x:v>Robustness text</x:v>
      </x:c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25" t="str">
        <x:v>step15c_country_gpr_coefficients.csv</x:v>
      </x:c>
      <x:c r="B14" s="25" t="str">
        <x:v>outputs/tables/</x:v>
      </x:c>
      <x:c r="C14" s="25" t="str">
        <x:v>Country-specific pair-GPR regressions</x:v>
      </x:c>
      <x:c r="D14" s="25" t="str">
        <x:v>model, outcome_type, shock, inference, term, effect, p_value</x:v>
      </x:c>
      <x:c r="E14" s="25" t="str">
        <x:v>Use inference="pair_plus_year_cluster"</x:v>
      </x:c>
      <x:c r="F14" s="25" t="str">
        <x:v>Table 6 / Appendix</x:v>
      </x:c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</x:sheetData>
  <x:pageMargins left="0.7" right="0.7" top="0.75" bottom="0.75" header="0.3" footer="0.3"/>
  <x:tableParts count="1">
    <x:tablePart xmlns:r="http://schemas.openxmlformats.org/officeDocument/2006/relationships" r:id="Rba5b3659c07f4d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90" hidden="0" customWidth="1"/>
  </x:cols>
  <x:sheetData>
    <x:row r="1" ht="28" customHeight="1">
      <x:c r="A1" s="8" t="str">
        <x:v>How to use the Master Results Map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</x:row>
    <x:row r="3">
      <x:c r="A3" s="22" t="str">
        <x:v>Step</x:v>
      </x:c>
      <x:c r="B3" s="22" t="str">
        <x:v>Action</x:v>
      </x:c>
      <x:c r="C3" s="22" t="str">
        <x:v>Exact instruction</x:v>
      </x:c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  <x:c r="AD3" s="4"/>
    </x:row>
    <x:row r="4">
      <x:c r="A4" s="25" t="str">
        <x:v>1</x:v>
      </x:c>
      <x:c r="B4" s="25" t="str">
        <x:v>Save the workbook</x:v>
      </x:c>
      <x:c r="C4" s="25" t="str">
        <x:v>Download and save as H:\AIID_DTA_GPR\outputs\master_results_map.xlsx.</x:v>
      </x:c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  <x:c r="Y4" s="4"/>
      <x:c r="Z4" s="4"/>
      <x:c r="AA4" s="4"/>
      <x:c r="AB4" s="4"/>
      <x:c r="AC4" s="4"/>
      <x:c r="AD4" s="4"/>
    </x:row>
    <x:row r="5">
      <x:c r="A5" s="25" t="str">
        <x:v>2</x:v>
      </x:c>
      <x:c r="B5" s="25" t="str">
        <x:v>Treat Master Map as the single source of truth</x:v>
      </x:c>
      <x:c r="C5" s="25" t="str">
        <x:v>Do not type coefficients directly into the manuscript from memory. Filter this sheet first.</x:v>
      </x:c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  <x:c r="Y5" s="4"/>
      <x:c r="Z5" s="4"/>
      <x:c r="AA5" s="4"/>
      <x:c r="AB5" s="4"/>
      <x:c r="AC5" s="4"/>
      <x:c r="AD5" s="4"/>
    </x:row>
    <x:row r="6">
      <x:c r="A6" s="25" t="str">
        <x:v>3</x:v>
      </x:c>
      <x:c r="B6" s="25" t="str">
        <x:v>Verify against the original CSV</x:v>
      </x:c>
      <x:c r="C6" s="25" t="str">
        <x:v>Open the Source_File shown in column AA, apply the exact Source_Filter in column AB, and confirm estimate, SE, p-value, CI and N.</x:v>
      </x:c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  <x:c r="P6" s="4"/>
      <x:c r="Q6" s="4"/>
      <x:c r="R6" s="4"/>
      <x:c r="S6" s="4"/>
      <x:c r="T6" s="4"/>
      <x:c r="U6" s="4"/>
      <x:c r="V6" s="4"/>
      <x:c r="W6" s="4"/>
      <x:c r="X6" s="4"/>
      <x:c r="Y6" s="4"/>
      <x:c r="Z6" s="4"/>
      <x:c r="AA6" s="4"/>
      <x:c r="AB6" s="4"/>
      <x:c r="AC6" s="4"/>
      <x:c r="AD6" s="4"/>
    </x:row>
    <x:row r="7">
      <x:c r="A7" s="25" t="str">
        <x:v>4</x:v>
      </x:c>
      <x:c r="B7" s="25" t="str">
        <x:v>Draft a paper table</x:v>
      </x:c>
      <x:c r="C7" s="25" t="str">
        <x:v>Open Paper Tables, choose the target table, then filter Master Map by Proposed_Table and Placement.</x:v>
      </x:c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  <x:c r="V7" s="4"/>
      <x:c r="W7" s="4"/>
      <x:c r="X7" s="4"/>
      <x:c r="Y7" s="4"/>
      <x:c r="Z7" s="4"/>
      <x:c r="AA7" s="4"/>
      <x:c r="AB7" s="4"/>
      <x:c r="AC7" s="4"/>
      <x:c r="AD7" s="4"/>
    </x:row>
    <x:row r="8">
      <x:c r="A8" s="25" t="str">
        <x:v>5</x:v>
      </x:c>
      <x:c r="B8" s="25" t="str">
        <x:v>Use the correct inference</x:v>
      </x:c>
      <x:c r="C8" s="25" t="str">
        <x:v>Main reporting uses unordered-pair + year clustering unless the row explicitly says otherwise.</x:v>
      </x:c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4"/>
      <x:c r="W8" s="4"/>
      <x:c r="X8" s="4"/>
      <x:c r="Y8" s="4"/>
      <x:c r="Z8" s="4"/>
      <x:c r="AA8" s="4"/>
      <x:c r="AB8" s="4"/>
      <x:c r="AC8" s="4"/>
      <x:c r="AD8" s="4"/>
    </x:row>
    <x:row r="9">
      <x:c r="A9" s="25" t="str">
        <x:v>6</x:v>
      </x:c>
      <x:c r="B9" s="25" t="str">
        <x:v>Use FDR where required</x:v>
      </x:c>
      <x:c r="C9" s="25" t="str">
        <x:v>For sector and provision screens, report FDR_P/FDR_Stars rather than relying only on the raw p-value.</x:v>
      </x:c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4"/>
      <x:c r="W9" s="4"/>
      <x:c r="X9" s="4"/>
      <x:c r="Y9" s="4"/>
      <x:c r="Z9" s="4"/>
      <x:c r="AA9" s="4"/>
      <x:c r="AB9" s="4"/>
      <x:c r="AC9" s="4"/>
      <x:c r="AD9" s="4"/>
    </x:row>
    <x:row r="10">
      <x:c r="A10" s="25" t="str">
        <x:v>7</x:v>
      </x:c>
      <x:c r="B10" s="25" t="str">
        <x:v>Write cautious interpretations</x:v>
      </x:c>
      <x:c r="C10" s="25" t="str">
        <x:v>Use associated with / linked to. Avoid causes, protects, reduces or increases unless identification is strengthened.</x:v>
      </x:c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  <x:c r="P10" s="4"/>
      <x:c r="Q10" s="4"/>
      <x:c r="R10" s="4"/>
      <x:c r="S10" s="4"/>
      <x:c r="T10" s="4"/>
      <x:c r="U10" s="4"/>
      <x:c r="V10" s="4"/>
      <x:c r="W10" s="4"/>
      <x:c r="X10" s="4"/>
      <x:c r="Y10" s="4"/>
      <x:c r="Z10" s="4"/>
      <x:c r="AA10" s="4"/>
      <x:c r="AB10" s="4"/>
      <x:c r="AC10" s="4"/>
      <x:c r="AD10" s="4"/>
    </x:row>
    <x:row r="11">
      <x:c r="A11" s="25" t="str">
        <x:v>8</x:v>
      </x:c>
      <x:c r="B11" s="25" t="str">
        <x:v>Track drafting</x:v>
      </x:c>
      <x:c r="C11" s="25" t="str">
        <x:v>Update Draft_Status to Drafted, Checked or Final. Do not change numerical cells unless a model is rerun.</x:v>
      </x:c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4"/>
      <x:c r="W11" s="4"/>
      <x:c r="X11" s="4"/>
      <x:c r="Y11" s="4"/>
      <x:c r="Z11" s="4"/>
      <x:c r="AA11" s="4"/>
      <x:c r="AB11" s="4"/>
      <x:c r="AC11" s="4"/>
      <x:c r="AD11" s="4"/>
    </x:row>
    <x:row r="12">
      <x:c r="A12" s="25" t="str">
        <x:v>9</x:v>
      </x:c>
      <x:c r="B12" s="25" t="str">
        <x:v>Lock results</x:v>
      </x:c>
      <x:c r="C12" s="25" t="str">
        <x:v>After manuscript drafting begins, add no new specifications unless responding to a concrete reviewer request.</x:v>
      </x:c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4"/>
      <x:c r="W12" s="4"/>
      <x:c r="X12" s="4"/>
      <x:c r="Y12" s="4"/>
      <x:c r="Z12" s="4"/>
      <x:c r="AA12" s="4"/>
      <x:c r="AB12" s="4"/>
      <x:c r="AC12" s="4"/>
      <x:c r="AD12" s="4"/>
    </x:row>
    <x:row r="13">
      <x:c r="A13" s="25"/>
      <x:c r="B13" s="25"/>
      <x:c r="C13" s="25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  <x:c r="P13" s="4"/>
      <x:c r="Q13" s="4"/>
      <x:c r="R13" s="4"/>
      <x:c r="S13" s="4"/>
      <x:c r="T13" s="4"/>
      <x:c r="U13" s="4"/>
      <x:c r="V13" s="4"/>
      <x:c r="W13" s="4"/>
      <x:c r="X13" s="4"/>
      <x:c r="Y13" s="4"/>
      <x:c r="Z13" s="4"/>
      <x:c r="AA13" s="4"/>
      <x:c r="AB13" s="4"/>
      <x:c r="AC13" s="4"/>
      <x:c r="AD13" s="4"/>
    </x:row>
    <x:row r="14">
      <x:c r="A14" s="25"/>
      <x:c r="B14" s="25"/>
      <x:c r="C14" s="25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  <x:c r="P14" s="4"/>
      <x:c r="Q14" s="4"/>
      <x:c r="R14" s="4"/>
      <x:c r="S14" s="4"/>
      <x:c r="T14" s="4"/>
      <x:c r="U14" s="4"/>
      <x:c r="V14" s="4"/>
      <x:c r="W14" s="4"/>
      <x:c r="X14" s="4"/>
      <x:c r="Y14" s="4"/>
      <x:c r="Z14" s="4"/>
      <x:c r="AA14" s="4"/>
      <x:c r="AB14" s="4"/>
      <x:c r="AC14" s="4"/>
      <x:c r="AD14" s="4"/>
    </x:row>
    <x:row r="15">
      <x:c r="A15" s="25"/>
      <x:c r="B15" s="25"/>
      <x:c r="C15" s="25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  <x:c r="P15" s="4"/>
      <x:c r="Q15" s="4"/>
      <x:c r="R15" s="4"/>
      <x:c r="S15" s="4"/>
      <x:c r="T15" s="4"/>
      <x:c r="U15" s="4"/>
      <x:c r="V15" s="4"/>
      <x:c r="W15" s="4"/>
      <x:c r="X15" s="4"/>
      <x:c r="Y15" s="4"/>
      <x:c r="Z15" s="4"/>
      <x:c r="AA15" s="4"/>
      <x:c r="AB15" s="4"/>
      <x:c r="AC15" s="4"/>
      <x:c r="AD15" s="4"/>
    </x:row>
    <x:row r="16">
      <x:c r="A16" s="25"/>
      <x:c r="B16" s="25"/>
      <x:c r="C16" s="25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4"/>
      <x:c r="W16" s="4"/>
      <x:c r="X16" s="4"/>
      <x:c r="Y16" s="4"/>
      <x:c r="Z16" s="4"/>
      <x:c r="AA16" s="4"/>
      <x:c r="AB16" s="4"/>
      <x:c r="AC16" s="4"/>
      <x:c r="AD16" s="4"/>
    </x:row>
    <x:row r="17">
      <x:c r="A17" s="25"/>
      <x:c r="B17" s="25"/>
      <x:c r="C17" s="25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4"/>
      <x:c r="W17" s="4"/>
      <x:c r="X17" s="4"/>
      <x:c r="Y17" s="4"/>
      <x:c r="Z17" s="4"/>
      <x:c r="AA17" s="4"/>
      <x:c r="AB17" s="4"/>
      <x:c r="AC17" s="4"/>
      <x:c r="AD17" s="4"/>
    </x:row>
    <x:row r="18">
      <x:c r="A18" s="25"/>
      <x:c r="B18" s="25"/>
      <x:c r="C18" s="25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  <x:c r="P18" s="4"/>
      <x:c r="Q18" s="4"/>
      <x:c r="R18" s="4"/>
      <x:c r="S18" s="4"/>
      <x:c r="T18" s="4"/>
      <x:c r="U18" s="4"/>
      <x:c r="V18" s="4"/>
      <x:c r="W18" s="4"/>
      <x:c r="X18" s="4"/>
      <x:c r="Y18" s="4"/>
      <x:c r="Z18" s="4"/>
      <x:c r="AA18" s="4"/>
      <x:c r="AB18" s="4"/>
      <x:c r="AC18" s="4"/>
      <x:c r="AD18" s="4"/>
    </x:row>
    <x:row r="19">
      <x:c r="A19" s="25"/>
      <x:c r="B19" s="25"/>
      <x:c r="C19" s="25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4"/>
      <x:c r="W19" s="4"/>
      <x:c r="X19" s="4"/>
      <x:c r="Y19" s="4"/>
      <x:c r="Z19" s="4"/>
      <x:c r="AA19" s="4"/>
      <x:c r="AB19" s="4"/>
      <x:c r="AC19" s="4"/>
      <x:c r="AD19" s="4"/>
    </x:row>
    <x:row r="20">
      <x:c r="A20" s="25"/>
      <x:c r="B20" s="25"/>
      <x:c r="C20" s="25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4"/>
      <x:c r="W20" s="4"/>
      <x:c r="X20" s="4"/>
      <x:c r="Y20" s="4"/>
      <x:c r="Z20" s="4"/>
      <x:c r="AA20" s="4"/>
      <x:c r="AB20" s="4"/>
      <x:c r="AC20" s="4"/>
      <x:c r="AD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  <x:c r="P21" s="4"/>
      <x:c r="Q21" s="4"/>
      <x:c r="R21" s="4"/>
      <x:c r="S21" s="4"/>
      <x:c r="T21" s="4"/>
      <x:c r="U21" s="4"/>
      <x:c r="V21" s="4"/>
      <x:c r="W21" s="4"/>
      <x:c r="X21" s="4"/>
      <x:c r="Y21" s="4"/>
      <x:c r="Z21" s="4"/>
      <x:c r="AA21" s="4"/>
      <x:c r="AB21" s="4"/>
      <x:c r="AC21" s="4"/>
      <x:c r="AD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  <x:c r="P22" s="4"/>
      <x:c r="Q22" s="4"/>
      <x:c r="R22" s="4"/>
      <x:c r="S22" s="4"/>
      <x:c r="T22" s="4"/>
      <x:c r="U22" s="4"/>
      <x:c r="V22" s="4"/>
      <x:c r="W22" s="4"/>
      <x:c r="X22" s="4"/>
      <x:c r="Y22" s="4"/>
      <x:c r="Z22" s="4"/>
      <x:c r="AA22" s="4"/>
      <x:c r="AB22" s="4"/>
      <x:c r="AC22" s="4"/>
      <x:c r="AD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  <x:c r="P23" s="4"/>
      <x:c r="Q23" s="4"/>
      <x:c r="R23" s="4"/>
      <x:c r="S23" s="4"/>
      <x:c r="T23" s="4"/>
      <x:c r="U23" s="4"/>
      <x:c r="V23" s="4"/>
      <x:c r="W23" s="4"/>
      <x:c r="X23" s="4"/>
      <x:c r="Y23" s="4"/>
      <x:c r="Z23" s="4"/>
      <x:c r="AA23" s="4"/>
      <x:c r="AB23" s="4"/>
      <x:c r="AC23" s="4"/>
      <x:c r="AD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4"/>
      <x:c r="W24" s="4"/>
      <x:c r="X24" s="4"/>
      <x:c r="Y24" s="4"/>
      <x:c r="Z24" s="4"/>
      <x:c r="AA24" s="4"/>
      <x:c r="AB24" s="4"/>
      <x:c r="AC24" s="4"/>
      <x:c r="AD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4"/>
      <x:c r="W25" s="4"/>
      <x:c r="X25" s="4"/>
      <x:c r="Y25" s="4"/>
      <x:c r="Z25" s="4"/>
      <x:c r="AA25" s="4"/>
      <x:c r="AB25" s="4"/>
      <x:c r="AC25" s="4"/>
      <x:c r="AD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  <x:c r="P26" s="4"/>
      <x:c r="Q26" s="4"/>
      <x:c r="R26" s="4"/>
      <x:c r="S26" s="4"/>
      <x:c r="T26" s="4"/>
      <x:c r="U26" s="4"/>
      <x:c r="V26" s="4"/>
      <x:c r="W26" s="4"/>
      <x:c r="X26" s="4"/>
      <x:c r="Y26" s="4"/>
      <x:c r="Z26" s="4"/>
      <x:c r="AA26" s="4"/>
      <x:c r="AB26" s="4"/>
      <x:c r="AC26" s="4"/>
      <x:c r="AD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4"/>
      <x:c r="W27" s="4"/>
      <x:c r="X27" s="4"/>
      <x:c r="Y27" s="4"/>
      <x:c r="Z27" s="4"/>
      <x:c r="AA27" s="4"/>
      <x:c r="AB27" s="4"/>
      <x:c r="AC27" s="4"/>
      <x:c r="AD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4"/>
      <x:c r="W28" s="4"/>
      <x:c r="X28" s="4"/>
      <x:c r="Y28" s="4"/>
      <x:c r="Z28" s="4"/>
      <x:c r="AA28" s="4"/>
      <x:c r="AB28" s="4"/>
      <x:c r="AC28" s="4"/>
      <x:c r="AD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  <x:c r="P29" s="4"/>
      <x:c r="Q29" s="4"/>
      <x:c r="R29" s="4"/>
      <x:c r="S29" s="4"/>
      <x:c r="T29" s="4"/>
      <x:c r="U29" s="4"/>
      <x:c r="V29" s="4"/>
      <x:c r="W29" s="4"/>
      <x:c r="X29" s="4"/>
      <x:c r="Y29" s="4"/>
      <x:c r="Z29" s="4"/>
      <x:c r="AA29" s="4"/>
      <x:c r="AB29" s="4"/>
      <x:c r="AC29" s="4"/>
      <x:c r="AD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  <x:c r="P30" s="4"/>
      <x:c r="Q30" s="4"/>
      <x:c r="R30" s="4"/>
      <x:c r="S30" s="4"/>
      <x:c r="T30" s="4"/>
      <x:c r="U30" s="4"/>
      <x:c r="V30" s="4"/>
      <x:c r="W30" s="4"/>
      <x:c r="X30" s="4"/>
      <x:c r="Y30" s="4"/>
      <x:c r="Z30" s="4"/>
      <x:c r="AA30" s="4"/>
      <x:c r="AB30" s="4"/>
      <x:c r="AC30" s="4"/>
      <x:c r="AD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  <x:c r="P31" s="4"/>
      <x:c r="Q31" s="4"/>
      <x:c r="R31" s="4"/>
      <x:c r="S31" s="4"/>
      <x:c r="T31" s="4"/>
      <x:c r="U31" s="4"/>
      <x:c r="V31" s="4"/>
      <x:c r="W31" s="4"/>
      <x:c r="X31" s="4"/>
      <x:c r="Y31" s="4"/>
      <x:c r="Z31" s="4"/>
      <x:c r="AA31" s="4"/>
      <x:c r="AB31" s="4"/>
      <x:c r="AC31" s="4"/>
      <x:c r="AD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4"/>
      <x:c r="W32" s="4"/>
      <x:c r="X32" s="4"/>
      <x:c r="Y32" s="4"/>
      <x:c r="Z32" s="4"/>
      <x:c r="AA32" s="4"/>
      <x:c r="AB32" s="4"/>
      <x:c r="AC32" s="4"/>
      <x:c r="AD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4"/>
      <x:c r="W33" s="4"/>
      <x:c r="X33" s="4"/>
      <x:c r="Y33" s="4"/>
      <x:c r="Z33" s="4"/>
      <x:c r="AA33" s="4"/>
      <x:c r="AB33" s="4"/>
      <x:c r="AC33" s="4"/>
      <x:c r="AD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  <x:c r="P34" s="4"/>
      <x:c r="Q34" s="4"/>
      <x:c r="R34" s="4"/>
      <x:c r="S34" s="4"/>
      <x:c r="T34" s="4"/>
      <x:c r="U34" s="4"/>
      <x:c r="V34" s="4"/>
      <x:c r="W34" s="4"/>
      <x:c r="X34" s="4"/>
      <x:c r="Y34" s="4"/>
      <x:c r="Z34" s="4"/>
      <x:c r="AA34" s="4"/>
      <x:c r="AB34" s="4"/>
      <x:c r="AC34" s="4"/>
      <x:c r="AD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4"/>
      <x:c r="W35" s="4"/>
      <x:c r="X35" s="4"/>
      <x:c r="Y35" s="4"/>
      <x:c r="Z35" s="4"/>
      <x:c r="AA35" s="4"/>
      <x:c r="AB35" s="4"/>
      <x:c r="AC35" s="4"/>
      <x:c r="AD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4"/>
      <x:c r="W36" s="4"/>
      <x:c r="X36" s="4"/>
      <x:c r="Y36" s="4"/>
      <x:c r="Z36" s="4"/>
      <x:c r="AA36" s="4"/>
      <x:c r="AB36" s="4"/>
      <x:c r="AC36" s="4"/>
      <x:c r="AD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  <x:c r="P37" s="4"/>
      <x:c r="Q37" s="4"/>
      <x:c r="R37" s="4"/>
      <x:c r="S37" s="4"/>
      <x:c r="T37" s="4"/>
      <x:c r="U37" s="4"/>
      <x:c r="V37" s="4"/>
      <x:c r="W37" s="4"/>
      <x:c r="X37" s="4"/>
      <x:c r="Y37" s="4"/>
      <x:c r="Z37" s="4"/>
      <x:c r="AA37" s="4"/>
      <x:c r="AB37" s="4"/>
      <x:c r="AC37" s="4"/>
      <x:c r="AD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  <x:c r="P38" s="4"/>
      <x:c r="Q38" s="4"/>
      <x:c r="R38" s="4"/>
      <x:c r="S38" s="4"/>
      <x:c r="T38" s="4"/>
      <x:c r="U38" s="4"/>
      <x:c r="V38" s="4"/>
      <x:c r="W38" s="4"/>
      <x:c r="X38" s="4"/>
      <x:c r="Y38" s="4"/>
      <x:c r="Z38" s="4"/>
      <x:c r="AA38" s="4"/>
      <x:c r="AB38" s="4"/>
      <x:c r="AC38" s="4"/>
      <x:c r="AD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  <x:c r="P39" s="4"/>
      <x:c r="Q39" s="4"/>
      <x:c r="R39" s="4"/>
      <x:c r="S39" s="4"/>
      <x:c r="T39" s="4"/>
      <x:c r="U39" s="4"/>
      <x:c r="V39" s="4"/>
      <x:c r="W39" s="4"/>
      <x:c r="X39" s="4"/>
      <x:c r="Y39" s="4"/>
      <x:c r="Z39" s="4"/>
      <x:c r="AA39" s="4"/>
      <x:c r="AB39" s="4"/>
      <x:c r="AC39" s="4"/>
      <x:c r="AD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4"/>
      <x:c r="W40" s="4"/>
      <x:c r="X40" s="4"/>
      <x:c r="Y40" s="4"/>
      <x:c r="Z40" s="4"/>
      <x:c r="AA40" s="4"/>
      <x:c r="AB40" s="4"/>
      <x:c r="AC40" s="4"/>
      <x:c r="AD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4"/>
      <x:c r="W41" s="4"/>
      <x:c r="X41" s="4"/>
      <x:c r="Y41" s="4"/>
      <x:c r="Z41" s="4"/>
      <x:c r="AA41" s="4"/>
      <x:c r="AB41" s="4"/>
      <x:c r="AC41" s="4"/>
      <x:c r="AD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  <x:c r="P42" s="4"/>
      <x:c r="Q42" s="4"/>
      <x:c r="R42" s="4"/>
      <x:c r="S42" s="4"/>
      <x:c r="T42" s="4"/>
      <x:c r="U42" s="4"/>
      <x:c r="V42" s="4"/>
      <x:c r="W42" s="4"/>
      <x:c r="X42" s="4"/>
      <x:c r="Y42" s="4"/>
      <x:c r="Z42" s="4"/>
      <x:c r="AA42" s="4"/>
      <x:c r="AB42" s="4"/>
      <x:c r="AC42" s="4"/>
      <x:c r="AD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4"/>
      <x:c r="W43" s="4"/>
      <x:c r="X43" s="4"/>
      <x:c r="Y43" s="4"/>
      <x:c r="Z43" s="4"/>
      <x:c r="AA43" s="4"/>
      <x:c r="AB43" s="4"/>
      <x:c r="AC43" s="4"/>
      <x:c r="AD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4"/>
      <x:c r="W44" s="4"/>
      <x:c r="X44" s="4"/>
      <x:c r="Y44" s="4"/>
      <x:c r="Z44" s="4"/>
      <x:c r="AA44" s="4"/>
      <x:c r="AB44" s="4"/>
      <x:c r="AC44" s="4"/>
      <x:c r="AD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  <x:c r="P45" s="4"/>
      <x:c r="Q45" s="4"/>
      <x:c r="R45" s="4"/>
      <x:c r="S45" s="4"/>
      <x:c r="T45" s="4"/>
      <x:c r="U45" s="4"/>
      <x:c r="V45" s="4"/>
      <x:c r="W45" s="4"/>
      <x:c r="X45" s="4"/>
      <x:c r="Y45" s="4"/>
      <x:c r="Z45" s="4"/>
      <x:c r="AA45" s="4"/>
      <x:c r="AB45" s="4"/>
      <x:c r="AC45" s="4"/>
      <x:c r="AD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  <x:c r="P46" s="4"/>
      <x:c r="Q46" s="4"/>
      <x:c r="R46" s="4"/>
      <x:c r="S46" s="4"/>
      <x:c r="T46" s="4"/>
      <x:c r="U46" s="4"/>
      <x:c r="V46" s="4"/>
      <x:c r="W46" s="4"/>
      <x:c r="X46" s="4"/>
      <x:c r="Y46" s="4"/>
      <x:c r="Z46" s="4"/>
      <x:c r="AA46" s="4"/>
      <x:c r="AB46" s="4"/>
      <x:c r="AC46" s="4"/>
      <x:c r="AD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  <x:c r="P47" s="4"/>
      <x:c r="Q47" s="4"/>
      <x:c r="R47" s="4"/>
      <x:c r="S47" s="4"/>
      <x:c r="T47" s="4"/>
      <x:c r="U47" s="4"/>
      <x:c r="V47" s="4"/>
      <x:c r="W47" s="4"/>
      <x:c r="X47" s="4"/>
      <x:c r="Y47" s="4"/>
      <x:c r="Z47" s="4"/>
      <x:c r="AA47" s="4"/>
      <x:c r="AB47" s="4"/>
      <x:c r="AC47" s="4"/>
      <x:c r="AD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4"/>
      <x:c r="W48" s="4"/>
      <x:c r="X48" s="4"/>
      <x:c r="Y48" s="4"/>
      <x:c r="Z48" s="4"/>
      <x:c r="AA48" s="4"/>
      <x:c r="AB48" s="4"/>
      <x:c r="AC48" s="4"/>
      <x:c r="AD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4"/>
      <x:c r="W49" s="4"/>
      <x:c r="X49" s="4"/>
      <x:c r="Y49" s="4"/>
      <x:c r="Z49" s="4"/>
      <x:c r="AA49" s="4"/>
      <x:c r="AB49" s="4"/>
      <x:c r="AC49" s="4"/>
      <x:c r="AD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  <x:c r="P50" s="4"/>
      <x:c r="Q50" s="4"/>
      <x:c r="R50" s="4"/>
      <x:c r="S50" s="4"/>
      <x:c r="T50" s="4"/>
      <x:c r="U50" s="4"/>
      <x:c r="V50" s="4"/>
      <x:c r="W50" s="4"/>
      <x:c r="X50" s="4"/>
      <x:c r="Y50" s="4"/>
      <x:c r="Z50" s="4"/>
      <x:c r="AA50" s="4"/>
      <x:c r="AB50" s="4"/>
      <x:c r="AC50" s="4"/>
      <x:c r="AD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4"/>
      <x:c r="W51" s="4"/>
      <x:c r="X51" s="4"/>
      <x:c r="Y51" s="4"/>
      <x:c r="Z51" s="4"/>
      <x:c r="AA51" s="4"/>
      <x:c r="AB51" s="4"/>
      <x:c r="AC51" s="4"/>
      <x:c r="AD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4"/>
      <x:c r="W52" s="4"/>
      <x:c r="X52" s="4"/>
      <x:c r="Y52" s="4"/>
      <x:c r="Z52" s="4"/>
      <x:c r="AA52" s="4"/>
      <x:c r="AB52" s="4"/>
      <x:c r="AC52" s="4"/>
      <x:c r="AD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  <x:c r="P53" s="4"/>
      <x:c r="Q53" s="4"/>
      <x:c r="R53" s="4"/>
      <x:c r="S53" s="4"/>
      <x:c r="T53" s="4"/>
      <x:c r="U53" s="4"/>
      <x:c r="V53" s="4"/>
      <x:c r="W53" s="4"/>
      <x:c r="X53" s="4"/>
      <x:c r="Y53" s="4"/>
      <x:c r="Z53" s="4"/>
      <x:c r="AA53" s="4"/>
      <x:c r="AB53" s="4"/>
      <x:c r="AC53" s="4"/>
      <x:c r="AD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  <x:c r="P54" s="4"/>
      <x:c r="Q54" s="4"/>
      <x:c r="R54" s="4"/>
      <x:c r="S54" s="4"/>
      <x:c r="T54" s="4"/>
      <x:c r="U54" s="4"/>
      <x:c r="V54" s="4"/>
      <x:c r="W54" s="4"/>
      <x:c r="X54" s="4"/>
      <x:c r="Y54" s="4"/>
      <x:c r="Z54" s="4"/>
      <x:c r="AA54" s="4"/>
      <x:c r="AB54" s="4"/>
      <x:c r="AC54" s="4"/>
      <x:c r="AD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  <x:c r="P55" s="4"/>
      <x:c r="Q55" s="4"/>
      <x:c r="R55" s="4"/>
      <x:c r="S55" s="4"/>
      <x:c r="T55" s="4"/>
      <x:c r="U55" s="4"/>
      <x:c r="V55" s="4"/>
      <x:c r="W55" s="4"/>
      <x:c r="X55" s="4"/>
      <x:c r="Y55" s="4"/>
      <x:c r="Z55" s="4"/>
      <x:c r="AA55" s="4"/>
      <x:c r="AB55" s="4"/>
      <x:c r="AC55" s="4"/>
      <x:c r="AD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4"/>
      <x:c r="W56" s="4"/>
      <x:c r="X56" s="4"/>
      <x:c r="Y56" s="4"/>
      <x:c r="Z56" s="4"/>
      <x:c r="AA56" s="4"/>
      <x:c r="AB56" s="4"/>
      <x:c r="AC56" s="4"/>
      <x:c r="AD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4"/>
      <x:c r="W57" s="4"/>
      <x:c r="X57" s="4"/>
      <x:c r="Y57" s="4"/>
      <x:c r="Z57" s="4"/>
      <x:c r="AA57" s="4"/>
      <x:c r="AB57" s="4"/>
      <x:c r="AC57" s="4"/>
      <x:c r="AD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  <x:c r="P58" s="4"/>
      <x:c r="Q58" s="4"/>
      <x:c r="R58" s="4"/>
      <x:c r="S58" s="4"/>
      <x:c r="T58" s="4"/>
      <x:c r="U58" s="4"/>
      <x:c r="V58" s="4"/>
      <x:c r="W58" s="4"/>
      <x:c r="X58" s="4"/>
      <x:c r="Y58" s="4"/>
      <x:c r="Z58" s="4"/>
      <x:c r="AA58" s="4"/>
      <x:c r="AB58" s="4"/>
      <x:c r="AC58" s="4"/>
      <x:c r="AD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4"/>
      <x:c r="W59" s="4"/>
      <x:c r="X59" s="4"/>
      <x:c r="Y59" s="4"/>
      <x:c r="Z59" s="4"/>
      <x:c r="AA59" s="4"/>
      <x:c r="AB59" s="4"/>
      <x:c r="AC59" s="4"/>
      <x:c r="AD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4"/>
      <x:c r="W60" s="4"/>
      <x:c r="X60" s="4"/>
      <x:c r="Y60" s="4"/>
      <x:c r="Z60" s="4"/>
      <x:c r="AA60" s="4"/>
      <x:c r="AB60" s="4"/>
      <x:c r="AC60" s="4"/>
      <x:c r="AD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  <x:c r="P61" s="4"/>
      <x:c r="Q61" s="4"/>
      <x:c r="R61" s="4"/>
      <x:c r="S61" s="4"/>
      <x:c r="T61" s="4"/>
      <x:c r="U61" s="4"/>
      <x:c r="V61" s="4"/>
      <x:c r="W61" s="4"/>
      <x:c r="X61" s="4"/>
      <x:c r="Y61" s="4"/>
      <x:c r="Z61" s="4"/>
      <x:c r="AA61" s="4"/>
      <x:c r="AB61" s="4"/>
      <x:c r="AC61" s="4"/>
      <x:c r="AD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  <x:c r="P62" s="4"/>
      <x:c r="Q62" s="4"/>
      <x:c r="R62" s="4"/>
      <x:c r="S62" s="4"/>
      <x:c r="T62" s="4"/>
      <x:c r="U62" s="4"/>
      <x:c r="V62" s="4"/>
      <x:c r="W62" s="4"/>
      <x:c r="X62" s="4"/>
      <x:c r="Y62" s="4"/>
      <x:c r="Z62" s="4"/>
      <x:c r="AA62" s="4"/>
      <x:c r="AB62" s="4"/>
      <x:c r="AC62" s="4"/>
      <x:c r="AD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  <x:c r="P63" s="4"/>
      <x:c r="Q63" s="4"/>
      <x:c r="R63" s="4"/>
      <x:c r="S63" s="4"/>
      <x:c r="T63" s="4"/>
      <x:c r="U63" s="4"/>
      <x:c r="V63" s="4"/>
      <x:c r="W63" s="4"/>
      <x:c r="X63" s="4"/>
      <x:c r="Y63" s="4"/>
      <x:c r="Z63" s="4"/>
      <x:c r="AA63" s="4"/>
      <x:c r="AB63" s="4"/>
      <x:c r="AC63" s="4"/>
      <x:c r="AD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4"/>
      <x:c r="W64" s="4"/>
      <x:c r="X64" s="4"/>
      <x:c r="Y64" s="4"/>
      <x:c r="Z64" s="4"/>
      <x:c r="AA64" s="4"/>
      <x:c r="AB64" s="4"/>
      <x:c r="AC64" s="4"/>
      <x:c r="AD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4"/>
      <x:c r="W65" s="4"/>
      <x:c r="X65" s="4"/>
      <x:c r="Y65" s="4"/>
      <x:c r="Z65" s="4"/>
      <x:c r="AA65" s="4"/>
      <x:c r="AB65" s="4"/>
      <x:c r="AC65" s="4"/>
      <x:c r="AD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  <x:c r="P66" s="4"/>
      <x:c r="Q66" s="4"/>
      <x:c r="R66" s="4"/>
      <x:c r="S66" s="4"/>
      <x:c r="T66" s="4"/>
      <x:c r="U66" s="4"/>
      <x:c r="V66" s="4"/>
      <x:c r="W66" s="4"/>
      <x:c r="X66" s="4"/>
      <x:c r="Y66" s="4"/>
      <x:c r="Z66" s="4"/>
      <x:c r="AA66" s="4"/>
      <x:c r="AB66" s="4"/>
      <x:c r="AC66" s="4"/>
      <x:c r="AD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4"/>
      <x:c r="W67" s="4"/>
      <x:c r="X67" s="4"/>
      <x:c r="Y67" s="4"/>
      <x:c r="Z67" s="4"/>
      <x:c r="AA67" s="4"/>
      <x:c r="AB67" s="4"/>
      <x:c r="AC67" s="4"/>
      <x:c r="AD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4"/>
      <x:c r="W68" s="4"/>
      <x:c r="X68" s="4"/>
      <x:c r="Y68" s="4"/>
      <x:c r="Z68" s="4"/>
      <x:c r="AA68" s="4"/>
      <x:c r="AB68" s="4"/>
      <x:c r="AC68" s="4"/>
      <x:c r="AD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  <x:c r="P69" s="4"/>
      <x:c r="Q69" s="4"/>
      <x:c r="R69" s="4"/>
      <x:c r="S69" s="4"/>
      <x:c r="T69" s="4"/>
      <x:c r="U69" s="4"/>
      <x:c r="V69" s="4"/>
      <x:c r="W69" s="4"/>
      <x:c r="X69" s="4"/>
      <x:c r="Y69" s="4"/>
      <x:c r="Z69" s="4"/>
      <x:c r="AA69" s="4"/>
      <x:c r="AB69" s="4"/>
      <x:c r="AC69" s="4"/>
      <x:c r="AD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  <x:c r="P70" s="4"/>
      <x:c r="Q70" s="4"/>
      <x:c r="R70" s="4"/>
      <x:c r="S70" s="4"/>
      <x:c r="T70" s="4"/>
      <x:c r="U70" s="4"/>
      <x:c r="V70" s="4"/>
      <x:c r="W70" s="4"/>
      <x:c r="X70" s="4"/>
      <x:c r="Y70" s="4"/>
      <x:c r="Z70" s="4"/>
      <x:c r="AA70" s="4"/>
      <x:c r="AB70" s="4"/>
      <x:c r="AC70" s="4"/>
      <x:c r="AD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  <x:c r="P71" s="4"/>
      <x:c r="Q71" s="4"/>
      <x:c r="R71" s="4"/>
      <x:c r="S71" s="4"/>
      <x:c r="T71" s="4"/>
      <x:c r="U71" s="4"/>
      <x:c r="V71" s="4"/>
      <x:c r="W71" s="4"/>
      <x:c r="X71" s="4"/>
      <x:c r="Y71" s="4"/>
      <x:c r="Z71" s="4"/>
      <x:c r="AA71" s="4"/>
      <x:c r="AB71" s="4"/>
      <x:c r="AC71" s="4"/>
      <x:c r="AD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4"/>
      <x:c r="W109" s="4"/>
      <x:c r="X109" s="4"/>
      <x:c r="Y109" s="4"/>
      <x:c r="Z109" s="4"/>
      <x:c r="AA109" s="4"/>
      <x:c r="AB109" s="4"/>
      <x:c r="AC109" s="4"/>
      <x:c r="AD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4"/>
      <x:c r="W110" s="4"/>
      <x:c r="X110" s="4"/>
      <x:c r="Y110" s="4"/>
      <x:c r="Z110" s="4"/>
      <x:c r="AA110" s="4"/>
      <x:c r="AB110" s="4"/>
      <x:c r="AC110" s="4"/>
      <x:c r="AD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4"/>
      <x:c r="W111" s="4"/>
      <x:c r="X111" s="4"/>
      <x:c r="Y111" s="4"/>
      <x:c r="Z111" s="4"/>
      <x:c r="AA111" s="4"/>
      <x:c r="AB111" s="4"/>
      <x:c r="AC111" s="4"/>
      <x:c r="AD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  <x:c r="P112" s="4"/>
      <x:c r="Q112" s="4"/>
      <x:c r="R112" s="4"/>
      <x:c r="S112" s="4"/>
      <x:c r="T112" s="4"/>
      <x:c r="U112" s="4"/>
      <x:c r="V112" s="4"/>
      <x:c r="W112" s="4"/>
      <x:c r="X112" s="4"/>
      <x:c r="Y112" s="4"/>
      <x:c r="Z112" s="4"/>
      <x:c r="AA112" s="4"/>
      <x:c r="AB112" s="4"/>
      <x:c r="AC112" s="4"/>
      <x:c r="AD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4"/>
      <x:c r="W113" s="4"/>
      <x:c r="X113" s="4"/>
      <x:c r="Y113" s="4"/>
      <x:c r="Z113" s="4"/>
      <x:c r="AA113" s="4"/>
      <x:c r="AB113" s="4"/>
      <x:c r="AC113" s="4"/>
      <x:c r="AD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  <x:c r="P114" s="4"/>
      <x:c r="Q114" s="4"/>
      <x:c r="R114" s="4"/>
      <x:c r="S114" s="4"/>
      <x:c r="T114" s="4"/>
      <x:c r="U114" s="4"/>
      <x:c r="V114" s="4"/>
      <x:c r="W114" s="4"/>
      <x:c r="X114" s="4"/>
      <x:c r="Y114" s="4"/>
      <x:c r="Z114" s="4"/>
      <x:c r="AA114" s="4"/>
      <x:c r="AB114" s="4"/>
      <x:c r="AC114" s="4"/>
      <x:c r="AD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  <x:c r="P115" s="4"/>
      <x:c r="Q115" s="4"/>
      <x:c r="R115" s="4"/>
      <x:c r="S115" s="4"/>
      <x:c r="T115" s="4"/>
      <x:c r="U115" s="4"/>
      <x:c r="V115" s="4"/>
      <x:c r="W115" s="4"/>
      <x:c r="X115" s="4"/>
      <x:c r="Y115" s="4"/>
      <x:c r="Z115" s="4"/>
      <x:c r="AA115" s="4"/>
      <x:c r="AB115" s="4"/>
      <x:c r="AC115" s="4"/>
      <x:c r="AD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/>
      <x:c r="V116" s="4"/>
      <x:c r="W116" s="4"/>
      <x:c r="X116" s="4"/>
      <x:c r="Y116" s="4"/>
      <x:c r="Z116" s="4"/>
      <x:c r="AA116" s="4"/>
      <x:c r="AB116" s="4"/>
      <x:c r="AC116" s="4"/>
      <x:c r="AD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  <x:c r="P117" s="4"/>
      <x:c r="Q117" s="4"/>
      <x:c r="R117" s="4"/>
      <x:c r="S117" s="4"/>
      <x:c r="T117" s="4"/>
      <x:c r="U117" s="4"/>
      <x:c r="V117" s="4"/>
      <x:c r="W117" s="4"/>
      <x:c r="X117" s="4"/>
      <x:c r="Y117" s="4"/>
      <x:c r="Z117" s="4"/>
      <x:c r="AA117" s="4"/>
      <x:c r="AB117" s="4"/>
      <x:c r="AC117" s="4"/>
      <x:c r="AD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  <x:c r="P118" s="4"/>
      <x:c r="Q118" s="4"/>
      <x:c r="R118" s="4"/>
      <x:c r="S118" s="4"/>
      <x:c r="T118" s="4"/>
      <x:c r="U118" s="4"/>
      <x:c r="V118" s="4"/>
      <x:c r="W118" s="4"/>
      <x:c r="X118" s="4"/>
      <x:c r="Y118" s="4"/>
      <x:c r="Z118" s="4"/>
      <x:c r="AA118" s="4"/>
      <x:c r="AB118" s="4"/>
      <x:c r="AC118" s="4"/>
      <x:c r="AD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/>
      <x:c r="V119" s="4"/>
      <x:c r="W119" s="4"/>
      <x:c r="X119" s="4"/>
      <x:c r="Y119" s="4"/>
      <x:c r="Z119" s="4"/>
      <x:c r="AA119" s="4"/>
      <x:c r="AB119" s="4"/>
      <x:c r="AC119" s="4"/>
      <x:c r="AD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  <x:c r="P120" s="4"/>
      <x:c r="Q120" s="4"/>
      <x:c r="R120" s="4"/>
      <x:c r="S120" s="4"/>
      <x:c r="T120" s="4"/>
      <x:c r="U120" s="4"/>
      <x:c r="V120" s="4"/>
      <x:c r="W120" s="4"/>
      <x:c r="X120" s="4"/>
      <x:c r="Y120" s="4"/>
      <x:c r="Z120" s="4"/>
      <x:c r="AA120" s="4"/>
      <x:c r="AB120" s="4"/>
      <x:c r="AC120" s="4"/>
      <x:c r="AD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4"/>
      <x:c r="W121" s="4"/>
      <x:c r="X121" s="4"/>
      <x:c r="Y121" s="4"/>
      <x:c r="Z121" s="4"/>
      <x:c r="AA121" s="4"/>
      <x:c r="AB121" s="4"/>
      <x:c r="AC121" s="4"/>
      <x:c r="AD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  <x:c r="P122" s="4"/>
      <x:c r="Q122" s="4"/>
      <x:c r="R122" s="4"/>
      <x:c r="S122" s="4"/>
      <x:c r="T122" s="4"/>
      <x:c r="U122" s="4"/>
      <x:c r="V122" s="4"/>
      <x:c r="W122" s="4"/>
      <x:c r="X122" s="4"/>
      <x:c r="Y122" s="4"/>
      <x:c r="Z122" s="4"/>
      <x:c r="AA122" s="4"/>
      <x:c r="AB122" s="4"/>
      <x:c r="AC122" s="4"/>
      <x:c r="AD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4"/>
      <x:c r="W123" s="4"/>
      <x:c r="X123" s="4"/>
      <x:c r="Y123" s="4"/>
      <x:c r="Z123" s="4"/>
      <x:c r="AA123" s="4"/>
      <x:c r="AB123" s="4"/>
      <x:c r="AC123" s="4"/>
      <x:c r="AD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  <x:c r="P124" s="4"/>
      <x:c r="Q124" s="4"/>
      <x:c r="R124" s="4"/>
      <x:c r="S124" s="4"/>
      <x:c r="T124" s="4"/>
      <x:c r="U124" s="4"/>
      <x:c r="V124" s="4"/>
      <x:c r="W124" s="4"/>
      <x:c r="X124" s="4"/>
      <x:c r="Y124" s="4"/>
      <x:c r="Z124" s="4"/>
      <x:c r="AA124" s="4"/>
      <x:c r="AB124" s="4"/>
      <x:c r="AC124" s="4"/>
      <x:c r="AD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  <x:c r="P125" s="4"/>
      <x:c r="Q125" s="4"/>
      <x:c r="R125" s="4"/>
      <x:c r="S125" s="4"/>
      <x:c r="T125" s="4"/>
      <x:c r="U125" s="4"/>
      <x:c r="V125" s="4"/>
      <x:c r="W125" s="4"/>
      <x:c r="X125" s="4"/>
      <x:c r="Y125" s="4"/>
      <x:c r="Z125" s="4"/>
      <x:c r="AA125" s="4"/>
      <x:c r="AB125" s="4"/>
      <x:c r="AC125" s="4"/>
      <x:c r="AD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  <x:c r="P126" s="4"/>
      <x:c r="Q126" s="4"/>
      <x:c r="R126" s="4"/>
      <x:c r="S126" s="4"/>
      <x:c r="T126" s="4"/>
      <x:c r="U126" s="4"/>
      <x:c r="V126" s="4"/>
      <x:c r="W126" s="4"/>
      <x:c r="X126" s="4"/>
      <x:c r="Y126" s="4"/>
      <x:c r="Z126" s="4"/>
      <x:c r="AA126" s="4"/>
      <x:c r="AB126" s="4"/>
      <x:c r="AC126" s="4"/>
      <x:c r="AD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/>
      <x:c r="V127" s="4"/>
      <x:c r="W127" s="4"/>
      <x:c r="X127" s="4"/>
      <x:c r="Y127" s="4"/>
      <x:c r="Z127" s="4"/>
      <x:c r="AA127" s="4"/>
      <x:c r="AB127" s="4"/>
      <x:c r="AC127" s="4"/>
      <x:c r="AD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/>
      <x:c r="V128" s="4"/>
      <x:c r="W128" s="4"/>
      <x:c r="X128" s="4"/>
      <x:c r="Y128" s="4"/>
      <x:c r="Z128" s="4"/>
      <x:c r="AA128" s="4"/>
      <x:c r="AB128" s="4"/>
      <x:c r="AC128" s="4"/>
      <x:c r="AD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  <x:c r="P129" s="4"/>
      <x:c r="Q129" s="4"/>
      <x:c r="R129" s="4"/>
      <x:c r="S129" s="4"/>
      <x:c r="T129" s="4"/>
      <x:c r="U129" s="4"/>
      <x:c r="V129" s="4"/>
      <x:c r="W129" s="4"/>
      <x:c r="X129" s="4"/>
      <x:c r="Y129" s="4"/>
      <x:c r="Z129" s="4"/>
      <x:c r="AA129" s="4"/>
      <x:c r="AB129" s="4"/>
      <x:c r="AC129" s="4"/>
      <x:c r="AD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  <x:c r="P130" s="4"/>
      <x:c r="Q130" s="4"/>
      <x:c r="R130" s="4"/>
      <x:c r="S130" s="4"/>
      <x:c r="T130" s="4"/>
      <x:c r="U130" s="4"/>
      <x:c r="V130" s="4"/>
      <x:c r="W130" s="4"/>
      <x:c r="X130" s="4"/>
      <x:c r="Y130" s="4"/>
      <x:c r="Z130" s="4"/>
      <x:c r="AA130" s="4"/>
      <x:c r="AB130" s="4"/>
      <x:c r="AC130" s="4"/>
      <x:c r="AD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4"/>
      <x:c r="W131" s="4"/>
      <x:c r="X131" s="4"/>
      <x:c r="Y131" s="4"/>
      <x:c r="Z131" s="4"/>
      <x:c r="AA131" s="4"/>
      <x:c r="AB131" s="4"/>
      <x:c r="AC131" s="4"/>
      <x:c r="AD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  <x:c r="P132" s="4"/>
      <x:c r="Q132" s="4"/>
      <x:c r="R132" s="4"/>
      <x:c r="S132" s="4"/>
      <x:c r="T132" s="4"/>
      <x:c r="U132" s="4"/>
      <x:c r="V132" s="4"/>
      <x:c r="W132" s="4"/>
      <x:c r="X132" s="4"/>
      <x:c r="Y132" s="4"/>
      <x:c r="Z132" s="4"/>
      <x:c r="AA132" s="4"/>
      <x:c r="AB132" s="4"/>
      <x:c r="AC132" s="4"/>
      <x:c r="AD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4"/>
      <x:c r="W133" s="4"/>
      <x:c r="X133" s="4"/>
      <x:c r="Y133" s="4"/>
      <x:c r="Z133" s="4"/>
      <x:c r="AA133" s="4"/>
      <x:c r="AB133" s="4"/>
      <x:c r="AC133" s="4"/>
      <x:c r="AD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  <x:c r="P134" s="4"/>
      <x:c r="Q134" s="4"/>
      <x:c r="R134" s="4"/>
      <x:c r="S134" s="4"/>
      <x:c r="T134" s="4"/>
      <x:c r="U134" s="4"/>
      <x:c r="V134" s="4"/>
      <x:c r="W134" s="4"/>
      <x:c r="X134" s="4"/>
      <x:c r="Y134" s="4"/>
      <x:c r="Z134" s="4"/>
      <x:c r="AA134" s="4"/>
      <x:c r="AB134" s="4"/>
      <x:c r="AC134" s="4"/>
      <x:c r="AD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/>
      <x:c r="V135" s="4"/>
      <x:c r="W135" s="4"/>
      <x:c r="X135" s="4"/>
      <x:c r="Y135" s="4"/>
      <x:c r="Z135" s="4"/>
      <x:c r="AA135" s="4"/>
      <x:c r="AB135" s="4"/>
      <x:c r="AC135" s="4"/>
      <x:c r="AD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  <x:c r="P136" s="4"/>
      <x:c r="Q136" s="4"/>
      <x:c r="R136" s="4"/>
      <x:c r="S136" s="4"/>
      <x:c r="T136" s="4"/>
      <x:c r="U136" s="4"/>
      <x:c r="V136" s="4"/>
      <x:c r="W136" s="4"/>
      <x:c r="X136" s="4"/>
      <x:c r="Y136" s="4"/>
      <x:c r="Z136" s="4"/>
      <x:c r="AA136" s="4"/>
      <x:c r="AB136" s="4"/>
      <x:c r="AC136" s="4"/>
      <x:c r="AD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  <x:c r="P137" s="4"/>
      <x:c r="Q137" s="4"/>
      <x:c r="R137" s="4"/>
      <x:c r="S137" s="4"/>
      <x:c r="T137" s="4"/>
      <x:c r="U137" s="4"/>
      <x:c r="V137" s="4"/>
      <x:c r="W137" s="4"/>
      <x:c r="X137" s="4"/>
      <x:c r="Y137" s="4"/>
      <x:c r="Z137" s="4"/>
      <x:c r="AA137" s="4"/>
      <x:c r="AB137" s="4"/>
      <x:c r="AC137" s="4"/>
      <x:c r="AD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/>
      <x:c r="V138" s="4"/>
      <x:c r="W138" s="4"/>
      <x:c r="X138" s="4"/>
      <x:c r="Y138" s="4"/>
      <x:c r="Z138" s="4"/>
      <x:c r="AA138" s="4"/>
      <x:c r="AB138" s="4"/>
      <x:c r="AC138" s="4"/>
      <x:c r="AD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/>
      <x:c r="V139" s="4"/>
      <x:c r="W139" s="4"/>
      <x:c r="X139" s="4"/>
      <x:c r="Y139" s="4"/>
      <x:c r="Z139" s="4"/>
      <x:c r="AA139" s="4"/>
      <x:c r="AB139" s="4"/>
      <x:c r="AC139" s="4"/>
      <x:c r="AD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  <x:c r="P140" s="4"/>
      <x:c r="Q140" s="4"/>
      <x:c r="R140" s="4"/>
      <x:c r="S140" s="4"/>
      <x:c r="T140" s="4"/>
      <x:c r="U140" s="4"/>
      <x:c r="V140" s="4"/>
      <x:c r="W140" s="4"/>
      <x:c r="X140" s="4"/>
      <x:c r="Y140" s="4"/>
      <x:c r="Z140" s="4"/>
      <x:c r="AA140" s="4"/>
      <x:c r="AB140" s="4"/>
      <x:c r="AC140" s="4"/>
      <x:c r="AD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/>
      <x:c r="V141" s="4"/>
      <x:c r="W141" s="4"/>
      <x:c r="X141" s="4"/>
      <x:c r="Y141" s="4"/>
      <x:c r="Z141" s="4"/>
      <x:c r="AA141" s="4"/>
      <x:c r="AB141" s="4"/>
      <x:c r="AC141" s="4"/>
      <x:c r="AD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  <x:c r="P142" s="4"/>
      <x:c r="Q142" s="4"/>
      <x:c r="R142" s="4"/>
      <x:c r="S142" s="4"/>
      <x:c r="T142" s="4"/>
      <x:c r="U142" s="4"/>
      <x:c r="V142" s="4"/>
      <x:c r="W142" s="4"/>
      <x:c r="X142" s="4"/>
      <x:c r="Y142" s="4"/>
      <x:c r="Z142" s="4"/>
      <x:c r="AA142" s="4"/>
      <x:c r="AB142" s="4"/>
      <x:c r="AC142" s="4"/>
      <x:c r="AD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4"/>
      <x:c r="W143" s="4"/>
      <x:c r="X143" s="4"/>
      <x:c r="Y143" s="4"/>
      <x:c r="Z143" s="4"/>
      <x:c r="AA143" s="4"/>
      <x:c r="AB143" s="4"/>
      <x:c r="AC143" s="4"/>
      <x:c r="AD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  <x:c r="P144" s="4"/>
      <x:c r="Q144" s="4"/>
      <x:c r="R144" s="4"/>
      <x:c r="S144" s="4"/>
      <x:c r="T144" s="4"/>
      <x:c r="U144" s="4"/>
      <x:c r="V144" s="4"/>
      <x:c r="W144" s="4"/>
      <x:c r="X144" s="4"/>
      <x:c r="Y144" s="4"/>
      <x:c r="Z144" s="4"/>
      <x:c r="AA144" s="4"/>
      <x:c r="AB144" s="4"/>
      <x:c r="AC144" s="4"/>
      <x:c r="AD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/>
      <x:c r="V145" s="4"/>
      <x:c r="W145" s="4"/>
      <x:c r="X145" s="4"/>
      <x:c r="Y145" s="4"/>
      <x:c r="Z145" s="4"/>
      <x:c r="AA145" s="4"/>
      <x:c r="AB145" s="4"/>
      <x:c r="AC145" s="4"/>
      <x:c r="AD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4"/>
      <x:c r="W146" s="4"/>
      <x:c r="X146" s="4"/>
      <x:c r="Y146" s="4"/>
      <x:c r="Z146" s="4"/>
      <x:c r="AA146" s="4"/>
      <x:c r="AB146" s="4"/>
      <x:c r="AC146" s="4"/>
      <x:c r="AD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  <x:c r="P147" s="4"/>
      <x:c r="Q147" s="4"/>
      <x:c r="R147" s="4"/>
      <x:c r="S147" s="4"/>
      <x:c r="T147" s="4"/>
      <x:c r="U147" s="4"/>
      <x:c r="V147" s="4"/>
      <x:c r="W147" s="4"/>
      <x:c r="X147" s="4"/>
      <x:c r="Y147" s="4"/>
      <x:c r="Z147" s="4"/>
      <x:c r="AA147" s="4"/>
      <x:c r="AB147" s="4"/>
      <x:c r="AC147" s="4"/>
      <x:c r="AD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  <x:c r="P148" s="4"/>
      <x:c r="Q148" s="4"/>
      <x:c r="R148" s="4"/>
      <x:c r="S148" s="4"/>
      <x:c r="T148" s="4"/>
      <x:c r="U148" s="4"/>
      <x:c r="V148" s="4"/>
      <x:c r="W148" s="4"/>
      <x:c r="X148" s="4"/>
      <x:c r="Y148" s="4"/>
      <x:c r="Z148" s="4"/>
      <x:c r="AA148" s="4"/>
      <x:c r="AB148" s="4"/>
      <x:c r="AC148" s="4"/>
      <x:c r="AD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/>
      <x:c r="V149" s="4"/>
      <x:c r="W149" s="4"/>
      <x:c r="X149" s="4"/>
      <x:c r="Y149" s="4"/>
      <x:c r="Z149" s="4"/>
      <x:c r="AA149" s="4"/>
      <x:c r="AB149" s="4"/>
      <x:c r="AC149" s="4"/>
      <x:c r="AD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  <x:c r="P150" s="4"/>
      <x:c r="Q150" s="4"/>
      <x:c r="R150" s="4"/>
      <x:c r="S150" s="4"/>
      <x:c r="T150" s="4"/>
      <x:c r="U150" s="4"/>
      <x:c r="V150" s="4"/>
      <x:c r="W150" s="4"/>
      <x:c r="X150" s="4"/>
      <x:c r="Y150" s="4"/>
      <x:c r="Z150" s="4"/>
      <x:c r="AA150" s="4"/>
      <x:c r="AB150" s="4"/>
      <x:c r="AC150" s="4"/>
      <x:c r="AD150" s="4"/>
    </x:row>
    <x:row r="151">
      <x:c r="A151" s="4"/>
      <x:c r="B151" s="4"/>
      <x:c r="C151" s="4"/>
      <x:c r="D151" s="4"/>
      <x:c r="E151" s="4"/>
      <x:c r="F151" s="4"/>
      <x:c r="G151" s="4"/>
      <x:c r="H151" s="4"/>
      <x:c r="I151" s="4"/>
      <x:c r="J151" s="4"/>
      <x:c r="K151" s="4"/>
      <x:c r="L151" s="4"/>
      <x:c r="M151" s="4"/>
      <x:c r="N151" s="4"/>
      <x:c r="O151" s="4"/>
      <x:c r="P151" s="4"/>
      <x:c r="Q151" s="4"/>
      <x:c r="R151" s="4"/>
      <x:c r="S151" s="4"/>
      <x:c r="T151" s="4"/>
      <x:c r="U151" s="4"/>
      <x:c r="V151" s="4"/>
      <x:c r="W151" s="4"/>
      <x:c r="X151" s="4"/>
      <x:c r="Y151" s="4"/>
      <x:c r="Z151" s="4"/>
      <x:c r="AA151" s="4"/>
      <x:c r="AB151" s="4"/>
      <x:c r="AC151" s="4"/>
      <x:c r="AD151" s="4"/>
    </x:row>
    <x:row r="152">
      <x:c r="A152" s="4"/>
      <x:c r="B152" s="4"/>
      <x:c r="C152" s="4"/>
      <x:c r="D152" s="4"/>
      <x:c r="E152" s="4"/>
      <x:c r="F152" s="4"/>
      <x:c r="G152" s="4"/>
      <x:c r="H152" s="4"/>
      <x:c r="I152" s="4"/>
      <x:c r="J152" s="4"/>
      <x:c r="K152" s="4"/>
      <x:c r="L152" s="4"/>
      <x:c r="M152" s="4"/>
      <x:c r="N152" s="4"/>
      <x:c r="O152" s="4"/>
      <x:c r="P152" s="4"/>
      <x:c r="Q152" s="4"/>
      <x:c r="R152" s="4"/>
      <x:c r="S152" s="4"/>
      <x:c r="T152" s="4"/>
      <x:c r="U152" s="4"/>
      <x:c r="V152" s="4"/>
      <x:c r="W152" s="4"/>
      <x:c r="X152" s="4"/>
      <x:c r="Y152" s="4"/>
      <x:c r="Z152" s="4"/>
      <x:c r="AA152" s="4"/>
      <x:c r="AB152" s="4"/>
      <x:c r="AC152" s="4"/>
      <x:c r="AD152" s="4"/>
    </x:row>
    <x:row r="153">
      <x:c r="A153" s="4"/>
      <x:c r="B153" s="4"/>
      <x:c r="C153" s="4"/>
      <x:c r="D153" s="4"/>
      <x:c r="E153" s="4"/>
      <x:c r="F153" s="4"/>
      <x:c r="G153" s="4"/>
      <x:c r="H153" s="4"/>
      <x:c r="I153" s="4"/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4"/>
      <x:c r="W153" s="4"/>
      <x:c r="X153" s="4"/>
      <x:c r="Y153" s="4"/>
      <x:c r="Z153" s="4"/>
      <x:c r="AA153" s="4"/>
      <x:c r="AB153" s="4"/>
      <x:c r="AC153" s="4"/>
      <x:c r="AD153" s="4"/>
    </x:row>
    <x:row r="154">
      <x:c r="A154" s="4"/>
      <x:c r="B154" s="4"/>
      <x:c r="C154" s="4"/>
      <x:c r="D154" s="4"/>
      <x:c r="E154" s="4"/>
      <x:c r="F154" s="4"/>
      <x:c r="G154" s="4"/>
      <x:c r="H154" s="4"/>
      <x:c r="I154" s="4"/>
      <x:c r="J154" s="4"/>
      <x:c r="K154" s="4"/>
      <x:c r="L154" s="4"/>
      <x:c r="M154" s="4"/>
      <x:c r="N154" s="4"/>
      <x:c r="O154" s="4"/>
      <x:c r="P154" s="4"/>
      <x:c r="Q154" s="4"/>
      <x:c r="R154" s="4"/>
      <x:c r="S154" s="4"/>
      <x:c r="T154" s="4"/>
      <x:c r="U154" s="4"/>
      <x:c r="V154" s="4"/>
      <x:c r="W154" s="4"/>
      <x:c r="X154" s="4"/>
      <x:c r="Y154" s="4"/>
      <x:c r="Z154" s="4"/>
      <x:c r="AA154" s="4"/>
      <x:c r="AB154" s="4"/>
      <x:c r="AC154" s="4"/>
      <x:c r="AD154" s="4"/>
    </x:row>
    <x:row r="155">
      <x:c r="A155" s="4"/>
      <x:c r="B155" s="4"/>
      <x:c r="C155" s="4"/>
      <x:c r="D155" s="4"/>
      <x:c r="E155" s="4"/>
      <x:c r="F155" s="4"/>
      <x:c r="G155" s="4"/>
      <x:c r="H155" s="4"/>
      <x:c r="I155" s="4"/>
      <x:c r="J155" s="4"/>
      <x:c r="K155" s="4"/>
      <x:c r="L155" s="4"/>
      <x:c r="M155" s="4"/>
      <x:c r="N155" s="4"/>
      <x:c r="O155" s="4"/>
      <x:c r="P155" s="4"/>
      <x:c r="Q155" s="4"/>
      <x:c r="R155" s="4"/>
      <x:c r="S155" s="4"/>
      <x:c r="T155" s="4"/>
      <x:c r="U155" s="4"/>
      <x:c r="V155" s="4"/>
      <x:c r="W155" s="4"/>
      <x:c r="X155" s="4"/>
      <x:c r="Y155" s="4"/>
      <x:c r="Z155" s="4"/>
      <x:c r="AA155" s="4"/>
      <x:c r="AB155" s="4"/>
      <x:c r="AC155" s="4"/>
      <x:c r="AD155" s="4"/>
    </x:row>
    <x:row r="156">
      <x:c r="A156" s="4"/>
      <x:c r="B156" s="4"/>
      <x:c r="C156" s="4"/>
      <x:c r="D156" s="4"/>
      <x:c r="E156" s="4"/>
      <x:c r="F156" s="4"/>
      <x:c r="G156" s="4"/>
      <x:c r="H156" s="4"/>
      <x:c r="I156" s="4"/>
      <x:c r="J156" s="4"/>
      <x:c r="K156" s="4"/>
      <x:c r="L156" s="4"/>
      <x:c r="M156" s="4"/>
      <x:c r="N156" s="4"/>
      <x:c r="O156" s="4"/>
      <x:c r="P156" s="4"/>
      <x:c r="Q156" s="4"/>
      <x:c r="R156" s="4"/>
      <x:c r="S156" s="4"/>
      <x:c r="T156" s="4"/>
      <x:c r="U156" s="4"/>
      <x:c r="V156" s="4"/>
      <x:c r="W156" s="4"/>
      <x:c r="X156" s="4"/>
      <x:c r="Y156" s="4"/>
      <x:c r="Z156" s="4"/>
      <x:c r="AA156" s="4"/>
      <x:c r="AB156" s="4"/>
      <x:c r="AC156" s="4"/>
      <x:c r="AD156" s="4"/>
    </x:row>
    <x:row r="157">
      <x:c r="A157" s="4"/>
      <x:c r="B157" s="4"/>
      <x:c r="C157" s="4"/>
      <x:c r="D157" s="4"/>
      <x:c r="E157" s="4"/>
      <x:c r="F157" s="4"/>
      <x:c r="G157" s="4"/>
      <x:c r="H157" s="4"/>
      <x:c r="I157" s="4"/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/>
      <x:c r="V157" s="4"/>
      <x:c r="W157" s="4"/>
      <x:c r="X157" s="4"/>
      <x:c r="Y157" s="4"/>
      <x:c r="Z157" s="4"/>
      <x:c r="AA157" s="4"/>
      <x:c r="AB157" s="4"/>
      <x:c r="AC157" s="4"/>
      <x:c r="AD157" s="4"/>
    </x:row>
    <x:row r="158">
      <x:c r="A158" s="4"/>
      <x:c r="B158" s="4"/>
      <x:c r="C158" s="4"/>
      <x:c r="D158" s="4"/>
      <x:c r="E158" s="4"/>
      <x:c r="F158" s="4"/>
      <x:c r="G158" s="4"/>
      <x:c r="H158" s="4"/>
      <x:c r="I158" s="4"/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/>
      <x:c r="V158" s="4"/>
      <x:c r="W158" s="4"/>
      <x:c r="X158" s="4"/>
      <x:c r="Y158" s="4"/>
      <x:c r="Z158" s="4"/>
      <x:c r="AA158" s="4"/>
      <x:c r="AB158" s="4"/>
      <x:c r="AC158" s="4"/>
      <x:c r="AD158" s="4"/>
    </x:row>
    <x:row r="159">
      <x:c r="A159" s="4"/>
      <x:c r="B159" s="4"/>
      <x:c r="C159" s="4"/>
      <x:c r="D159" s="4"/>
      <x:c r="E159" s="4"/>
      <x:c r="F159" s="4"/>
      <x:c r="G159" s="4"/>
      <x:c r="H159" s="4"/>
      <x:c r="I159" s="4"/>
      <x:c r="J159" s="4"/>
      <x:c r="K159" s="4"/>
      <x:c r="L159" s="4"/>
      <x:c r="M159" s="4"/>
      <x:c r="N159" s="4"/>
      <x:c r="O159" s="4"/>
      <x:c r="P159" s="4"/>
      <x:c r="Q159" s="4"/>
      <x:c r="R159" s="4"/>
      <x:c r="S159" s="4"/>
      <x:c r="T159" s="4"/>
      <x:c r="U159" s="4"/>
      <x:c r="V159" s="4"/>
      <x:c r="W159" s="4"/>
      <x:c r="X159" s="4"/>
      <x:c r="Y159" s="4"/>
      <x:c r="Z159" s="4"/>
      <x:c r="AA159" s="4"/>
      <x:c r="AB159" s="4"/>
      <x:c r="AC159" s="4"/>
      <x:c r="AD159" s="4"/>
    </x:row>
    <x:row r="160">
      <x:c r="A160" s="4"/>
      <x:c r="B160" s="4"/>
      <x:c r="C160" s="4"/>
      <x:c r="D160" s="4"/>
      <x:c r="E160" s="4"/>
      <x:c r="F160" s="4"/>
      <x:c r="G160" s="4"/>
      <x:c r="H160" s="4"/>
      <x:c r="I160" s="4"/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/>
      <x:c r="V160" s="4"/>
      <x:c r="W160" s="4"/>
      <x:c r="X160" s="4"/>
      <x:c r="Y160" s="4"/>
      <x:c r="Z160" s="4"/>
      <x:c r="AA160" s="4"/>
      <x:c r="AB160" s="4"/>
      <x:c r="AC160" s="4"/>
      <x:c r="AD160" s="4"/>
    </x:row>
    <x:row r="161">
      <x:c r="A161" s="4"/>
      <x:c r="B161" s="4"/>
      <x:c r="C161" s="4"/>
      <x:c r="D161" s="4"/>
      <x:c r="E161" s="4"/>
      <x:c r="F161" s="4"/>
      <x:c r="G161" s="4"/>
      <x:c r="H161" s="4"/>
      <x:c r="I161" s="4"/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/>
      <x:c r="V161" s="4"/>
      <x:c r="W161" s="4"/>
      <x:c r="X161" s="4"/>
      <x:c r="Y161" s="4"/>
      <x:c r="Z161" s="4"/>
      <x:c r="AA161" s="4"/>
      <x:c r="AB161" s="4"/>
      <x:c r="AC161" s="4"/>
      <x:c r="AD161" s="4"/>
    </x:row>
    <x:row r="162">
      <x:c r="A162" s="4"/>
      <x:c r="B162" s="4"/>
      <x:c r="C162" s="4"/>
      <x:c r="D162" s="4"/>
      <x:c r="E162" s="4"/>
      <x:c r="F162" s="4"/>
      <x:c r="G162" s="4"/>
      <x:c r="H162" s="4"/>
      <x:c r="I162" s="4"/>
      <x:c r="J162" s="4"/>
      <x:c r="K162" s="4"/>
      <x:c r="L162" s="4"/>
      <x:c r="M162" s="4"/>
      <x:c r="N162" s="4"/>
      <x:c r="O162" s="4"/>
      <x:c r="P162" s="4"/>
      <x:c r="Q162" s="4"/>
      <x:c r="R162" s="4"/>
      <x:c r="S162" s="4"/>
      <x:c r="T162" s="4"/>
      <x:c r="U162" s="4"/>
      <x:c r="V162" s="4"/>
      <x:c r="W162" s="4"/>
      <x:c r="X162" s="4"/>
      <x:c r="Y162" s="4"/>
      <x:c r="Z162" s="4"/>
      <x:c r="AA162" s="4"/>
      <x:c r="AB162" s="4"/>
      <x:c r="AC162" s="4"/>
      <x:c r="AD162" s="4"/>
    </x:row>
    <x:row r="163">
      <x:c r="A163" s="4"/>
      <x:c r="B163" s="4"/>
      <x:c r="C163" s="4"/>
      <x:c r="D163" s="4"/>
      <x:c r="E163" s="4"/>
      <x:c r="F163" s="4"/>
      <x:c r="G163" s="4"/>
      <x:c r="H163" s="4"/>
      <x:c r="I163" s="4"/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/>
      <x:c r="V163" s="4"/>
      <x:c r="W163" s="4"/>
      <x:c r="X163" s="4"/>
      <x:c r="Y163" s="4"/>
      <x:c r="Z163" s="4"/>
      <x:c r="AA163" s="4"/>
      <x:c r="AB163" s="4"/>
      <x:c r="AC163" s="4"/>
      <x:c r="AD163" s="4"/>
    </x:row>
    <x:row r="164">
      <x:c r="A164" s="4"/>
      <x:c r="B164" s="4"/>
      <x:c r="C164" s="4"/>
      <x:c r="D164" s="4"/>
      <x:c r="E164" s="4"/>
      <x:c r="F164" s="4"/>
      <x:c r="G164" s="4"/>
      <x:c r="H164" s="4"/>
      <x:c r="I164" s="4"/>
      <x:c r="J164" s="4"/>
      <x:c r="K164" s="4"/>
      <x:c r="L164" s="4"/>
      <x:c r="M164" s="4"/>
      <x:c r="N164" s="4"/>
      <x:c r="O164" s="4"/>
      <x:c r="P164" s="4"/>
      <x:c r="Q164" s="4"/>
      <x:c r="R164" s="4"/>
      <x:c r="S164" s="4"/>
      <x:c r="T164" s="4"/>
      <x:c r="U164" s="4"/>
      <x:c r="V164" s="4"/>
      <x:c r="W164" s="4"/>
      <x:c r="X164" s="4"/>
      <x:c r="Y164" s="4"/>
      <x:c r="Z164" s="4"/>
      <x:c r="AA164" s="4"/>
      <x:c r="AB164" s="4"/>
      <x:c r="AC164" s="4"/>
      <x:c r="AD164" s="4"/>
    </x:row>
    <x:row r="165">
      <x:c r="A165" s="4"/>
      <x:c r="B165" s="4"/>
      <x:c r="C165" s="4"/>
      <x:c r="D165" s="4"/>
      <x:c r="E165" s="4"/>
      <x:c r="F165" s="4"/>
      <x:c r="G165" s="4"/>
      <x:c r="H165" s="4"/>
      <x:c r="I165" s="4"/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/>
      <x:c r="V165" s="4"/>
      <x:c r="W165" s="4"/>
      <x:c r="X165" s="4"/>
      <x:c r="Y165" s="4"/>
      <x:c r="Z165" s="4"/>
      <x:c r="AA165" s="4"/>
      <x:c r="AB165" s="4"/>
      <x:c r="AC165" s="4"/>
      <x:c r="AD165" s="4"/>
    </x:row>
    <x:row r="166">
      <x:c r="A166" s="4"/>
      <x:c r="B166" s="4"/>
      <x:c r="C166" s="4"/>
      <x:c r="D166" s="4"/>
      <x:c r="E166" s="4"/>
      <x:c r="F166" s="4"/>
      <x:c r="G166" s="4"/>
      <x:c r="H166" s="4"/>
      <x:c r="I166" s="4"/>
      <x:c r="J166" s="4"/>
      <x:c r="K166" s="4"/>
      <x:c r="L166" s="4"/>
      <x:c r="M166" s="4"/>
      <x:c r="N166" s="4"/>
      <x:c r="O166" s="4"/>
      <x:c r="P166" s="4"/>
      <x:c r="Q166" s="4"/>
      <x:c r="R166" s="4"/>
      <x:c r="S166" s="4"/>
      <x:c r="T166" s="4"/>
      <x:c r="U166" s="4"/>
      <x:c r="V166" s="4"/>
      <x:c r="W166" s="4"/>
      <x:c r="X166" s="4"/>
      <x:c r="Y166" s="4"/>
      <x:c r="Z166" s="4"/>
      <x:c r="AA166" s="4"/>
      <x:c r="AB166" s="4"/>
      <x:c r="AC166" s="4"/>
      <x:c r="AD166" s="4"/>
    </x:row>
    <x:row r="167">
      <x:c r="A167" s="4"/>
      <x:c r="B167" s="4"/>
      <x:c r="C167" s="4"/>
      <x:c r="D167" s="4"/>
      <x:c r="E167" s="4"/>
      <x:c r="F167" s="4"/>
      <x:c r="G167" s="4"/>
      <x:c r="H167" s="4"/>
      <x:c r="I167" s="4"/>
      <x:c r="J167" s="4"/>
      <x:c r="K167" s="4"/>
      <x:c r="L167" s="4"/>
      <x:c r="M167" s="4"/>
      <x:c r="N167" s="4"/>
      <x:c r="O167" s="4"/>
      <x:c r="P167" s="4"/>
      <x:c r="Q167" s="4"/>
      <x:c r="R167" s="4"/>
      <x:c r="S167" s="4"/>
      <x:c r="T167" s="4"/>
      <x:c r="U167" s="4"/>
      <x:c r="V167" s="4"/>
      <x:c r="W167" s="4"/>
      <x:c r="X167" s="4"/>
      <x:c r="Y167" s="4"/>
      <x:c r="Z167" s="4"/>
      <x:c r="AA167" s="4"/>
      <x:c r="AB167" s="4"/>
      <x:c r="AC167" s="4"/>
      <x:c r="AD167" s="4"/>
    </x:row>
    <x:row r="168">
      <x:c r="A168" s="4"/>
      <x:c r="B168" s="4"/>
      <x:c r="C168" s="4"/>
      <x:c r="D168" s="4"/>
      <x:c r="E168" s="4"/>
      <x:c r="F168" s="4"/>
      <x:c r="G168" s="4"/>
      <x:c r="H168" s="4"/>
      <x:c r="I168" s="4"/>
      <x:c r="J168" s="4"/>
      <x:c r="K168" s="4"/>
      <x:c r="L168" s="4"/>
      <x:c r="M168" s="4"/>
      <x:c r="N168" s="4"/>
      <x:c r="O168" s="4"/>
      <x:c r="P168" s="4"/>
      <x:c r="Q168" s="4"/>
      <x:c r="R168" s="4"/>
      <x:c r="S168" s="4"/>
      <x:c r="T168" s="4"/>
      <x:c r="U168" s="4"/>
      <x:c r="V168" s="4"/>
      <x:c r="W168" s="4"/>
      <x:c r="X168" s="4"/>
      <x:c r="Y168" s="4"/>
      <x:c r="Z168" s="4"/>
      <x:c r="AA168" s="4"/>
      <x:c r="AB168" s="4"/>
      <x:c r="AC168" s="4"/>
      <x:c r="AD168" s="4"/>
    </x:row>
    <x:row r="169">
      <x:c r="A169" s="4"/>
      <x:c r="B169" s="4"/>
      <x:c r="C169" s="4"/>
      <x:c r="D169" s="4"/>
      <x:c r="E169" s="4"/>
      <x:c r="F169" s="4"/>
      <x:c r="G169" s="4"/>
      <x:c r="H169" s="4"/>
      <x:c r="I169" s="4"/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/>
      <x:c r="V169" s="4"/>
      <x:c r="W169" s="4"/>
      <x:c r="X169" s="4"/>
      <x:c r="Y169" s="4"/>
      <x:c r="Z169" s="4"/>
      <x:c r="AA169" s="4"/>
      <x:c r="AB169" s="4"/>
      <x:c r="AC169" s="4"/>
      <x:c r="AD169" s="4"/>
    </x:row>
    <x:row r="170">
      <x:c r="A170" s="4"/>
      <x:c r="B170" s="4"/>
      <x:c r="C170" s="4"/>
      <x:c r="D170" s="4"/>
      <x:c r="E170" s="4"/>
      <x:c r="F170" s="4"/>
      <x:c r="G170" s="4"/>
      <x:c r="H170" s="4"/>
      <x:c r="I170" s="4"/>
      <x:c r="J170" s="4"/>
      <x:c r="K170" s="4"/>
      <x:c r="L170" s="4"/>
      <x:c r="M170" s="4"/>
      <x:c r="N170" s="4"/>
      <x:c r="O170" s="4"/>
      <x:c r="P170" s="4"/>
      <x:c r="Q170" s="4"/>
      <x:c r="R170" s="4"/>
      <x:c r="S170" s="4"/>
      <x:c r="T170" s="4"/>
      <x:c r="U170" s="4"/>
      <x:c r="V170" s="4"/>
      <x:c r="W170" s="4"/>
      <x:c r="X170" s="4"/>
      <x:c r="Y170" s="4"/>
      <x:c r="Z170" s="4"/>
      <x:c r="AA170" s="4"/>
      <x:c r="AB170" s="4"/>
      <x:c r="AC170" s="4"/>
      <x:c r="AD170" s="4"/>
    </x:row>
    <x:row r="171">
      <x:c r="A171" s="4"/>
      <x:c r="B171" s="4"/>
      <x:c r="C171" s="4"/>
      <x:c r="D171" s="4"/>
      <x:c r="E171" s="4"/>
      <x:c r="F171" s="4"/>
      <x:c r="G171" s="4"/>
      <x:c r="H171" s="4"/>
      <x:c r="I171" s="4"/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/>
      <x:c r="V171" s="4"/>
      <x:c r="W171" s="4"/>
      <x:c r="X171" s="4"/>
      <x:c r="Y171" s="4"/>
      <x:c r="Z171" s="4"/>
      <x:c r="AA171" s="4"/>
      <x:c r="AB171" s="4"/>
      <x:c r="AC171" s="4"/>
      <x:c r="AD171" s="4"/>
    </x:row>
    <x:row r="172">
      <x:c r="A172" s="4"/>
      <x:c r="B172" s="4"/>
      <x:c r="C172" s="4"/>
      <x:c r="D172" s="4"/>
      <x:c r="E172" s="4"/>
      <x:c r="F172" s="4"/>
      <x:c r="G172" s="4"/>
      <x:c r="H172" s="4"/>
      <x:c r="I172" s="4"/>
      <x:c r="J172" s="4"/>
      <x:c r="K172" s="4"/>
      <x:c r="L172" s="4"/>
      <x:c r="M172" s="4"/>
      <x:c r="N172" s="4"/>
      <x:c r="O172" s="4"/>
      <x:c r="P172" s="4"/>
      <x:c r="Q172" s="4"/>
      <x:c r="R172" s="4"/>
      <x:c r="S172" s="4"/>
      <x:c r="T172" s="4"/>
      <x:c r="U172" s="4"/>
      <x:c r="V172" s="4"/>
      <x:c r="W172" s="4"/>
      <x:c r="X172" s="4"/>
      <x:c r="Y172" s="4"/>
      <x:c r="Z172" s="4"/>
      <x:c r="AA172" s="4"/>
      <x:c r="AB172" s="4"/>
      <x:c r="AC172" s="4"/>
      <x:c r="AD172" s="4"/>
    </x:row>
    <x:row r="173">
      <x:c r="A173" s="4"/>
      <x:c r="B173" s="4"/>
      <x:c r="C173" s="4"/>
      <x:c r="D173" s="4"/>
      <x:c r="E173" s="4"/>
      <x:c r="F173" s="4"/>
      <x:c r="G173" s="4"/>
      <x:c r="H173" s="4"/>
      <x:c r="I173" s="4"/>
      <x:c r="J173" s="4"/>
      <x:c r="K173" s="4"/>
      <x:c r="L173" s="4"/>
      <x:c r="M173" s="4"/>
      <x:c r="N173" s="4"/>
      <x:c r="O173" s="4"/>
      <x:c r="P173" s="4"/>
      <x:c r="Q173" s="4"/>
      <x:c r="R173" s="4"/>
      <x:c r="S173" s="4"/>
      <x:c r="T173" s="4"/>
      <x:c r="U173" s="4"/>
      <x:c r="V173" s="4"/>
      <x:c r="W173" s="4"/>
      <x:c r="X173" s="4"/>
      <x:c r="Y173" s="4"/>
      <x:c r="Z173" s="4"/>
      <x:c r="AA173" s="4"/>
      <x:c r="AB173" s="4"/>
      <x:c r="AC173" s="4"/>
      <x:c r="AD173" s="4"/>
    </x:row>
    <x:row r="174">
      <x:c r="A174" s="4"/>
      <x:c r="B174" s="4"/>
      <x:c r="C174" s="4"/>
      <x:c r="D174" s="4"/>
      <x:c r="E174" s="4"/>
      <x:c r="F174" s="4"/>
      <x:c r="G174" s="4"/>
      <x:c r="H174" s="4"/>
      <x:c r="I174" s="4"/>
      <x:c r="J174" s="4"/>
      <x:c r="K174" s="4"/>
      <x:c r="L174" s="4"/>
      <x:c r="M174" s="4"/>
      <x:c r="N174" s="4"/>
      <x:c r="O174" s="4"/>
      <x:c r="P174" s="4"/>
      <x:c r="Q174" s="4"/>
      <x:c r="R174" s="4"/>
      <x:c r="S174" s="4"/>
      <x:c r="T174" s="4"/>
      <x:c r="U174" s="4"/>
      <x:c r="V174" s="4"/>
      <x:c r="W174" s="4"/>
      <x:c r="X174" s="4"/>
      <x:c r="Y174" s="4"/>
      <x:c r="Z174" s="4"/>
      <x:c r="AA174" s="4"/>
      <x:c r="AB174" s="4"/>
      <x:c r="AC174" s="4"/>
      <x:c r="AD174" s="4"/>
    </x:row>
    <x:row r="175">
      <x:c r="A175" s="4"/>
      <x:c r="B175" s="4"/>
      <x:c r="C175" s="4"/>
      <x:c r="D175" s="4"/>
      <x:c r="E175" s="4"/>
      <x:c r="F175" s="4"/>
      <x:c r="G175" s="4"/>
      <x:c r="H175" s="4"/>
      <x:c r="I175" s="4"/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/>
      <x:c r="V175" s="4"/>
      <x:c r="W175" s="4"/>
      <x:c r="X175" s="4"/>
      <x:c r="Y175" s="4"/>
      <x:c r="Z175" s="4"/>
      <x:c r="AA175" s="4"/>
      <x:c r="AB175" s="4"/>
      <x:c r="AC175" s="4"/>
      <x:c r="AD175" s="4"/>
    </x:row>
    <x:row r="176">
      <x:c r="A176" s="4"/>
      <x:c r="B176" s="4"/>
      <x:c r="C176" s="4"/>
      <x:c r="D176" s="4"/>
      <x:c r="E176" s="4"/>
      <x:c r="F176" s="4"/>
      <x:c r="G176" s="4"/>
      <x:c r="H176" s="4"/>
      <x:c r="I176" s="4"/>
      <x:c r="J176" s="4"/>
      <x:c r="K176" s="4"/>
      <x:c r="L176" s="4"/>
      <x:c r="M176" s="4"/>
      <x:c r="N176" s="4"/>
      <x:c r="O176" s="4"/>
      <x:c r="P176" s="4"/>
      <x:c r="Q176" s="4"/>
      <x:c r="R176" s="4"/>
      <x:c r="S176" s="4"/>
      <x:c r="T176" s="4"/>
      <x:c r="U176" s="4"/>
      <x:c r="V176" s="4"/>
      <x:c r="W176" s="4"/>
      <x:c r="X176" s="4"/>
      <x:c r="Y176" s="4"/>
      <x:c r="Z176" s="4"/>
      <x:c r="AA176" s="4"/>
      <x:c r="AB176" s="4"/>
      <x:c r="AC176" s="4"/>
      <x:c r="AD176" s="4"/>
    </x:row>
    <x:row r="177">
      <x:c r="A177" s="4"/>
      <x:c r="B177" s="4"/>
      <x:c r="C177" s="4"/>
      <x:c r="D177" s="4"/>
      <x:c r="E177" s="4"/>
      <x:c r="F177" s="4"/>
      <x:c r="G177" s="4"/>
      <x:c r="H177" s="4"/>
      <x:c r="I177" s="4"/>
      <x:c r="J177" s="4"/>
      <x:c r="K177" s="4"/>
      <x:c r="L177" s="4"/>
      <x:c r="M177" s="4"/>
      <x:c r="N177" s="4"/>
      <x:c r="O177" s="4"/>
      <x:c r="P177" s="4"/>
      <x:c r="Q177" s="4"/>
      <x:c r="R177" s="4"/>
      <x:c r="S177" s="4"/>
      <x:c r="T177" s="4"/>
      <x:c r="U177" s="4"/>
      <x:c r="V177" s="4"/>
      <x:c r="W177" s="4"/>
      <x:c r="X177" s="4"/>
      <x:c r="Y177" s="4"/>
      <x:c r="Z177" s="4"/>
      <x:c r="AA177" s="4"/>
      <x:c r="AB177" s="4"/>
      <x:c r="AC177" s="4"/>
      <x:c r="AD177" s="4"/>
    </x:row>
    <x:row r="178">
      <x:c r="A178" s="4"/>
      <x:c r="B178" s="4"/>
      <x:c r="C178" s="4"/>
      <x:c r="D178" s="4"/>
      <x:c r="E178" s="4"/>
      <x:c r="F178" s="4"/>
      <x:c r="G178" s="4"/>
      <x:c r="H178" s="4"/>
      <x:c r="I178" s="4"/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/>
      <x:c r="V178" s="4"/>
      <x:c r="W178" s="4"/>
      <x:c r="X178" s="4"/>
      <x:c r="Y178" s="4"/>
      <x:c r="Z178" s="4"/>
      <x:c r="AA178" s="4"/>
      <x:c r="AB178" s="4"/>
      <x:c r="AC178" s="4"/>
      <x:c r="AD178" s="4"/>
    </x:row>
    <x:row r="179">
      <x:c r="A179" s="4"/>
      <x:c r="B179" s="4"/>
      <x:c r="C179" s="4"/>
      <x:c r="D179" s="4"/>
      <x:c r="E179" s="4"/>
      <x:c r="F179" s="4"/>
      <x:c r="G179" s="4"/>
      <x:c r="H179" s="4"/>
      <x:c r="I179" s="4"/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/>
      <x:c r="V179" s="4"/>
      <x:c r="W179" s="4"/>
      <x:c r="X179" s="4"/>
      <x:c r="Y179" s="4"/>
      <x:c r="Z179" s="4"/>
      <x:c r="AA179" s="4"/>
      <x:c r="AB179" s="4"/>
      <x:c r="AC179" s="4"/>
      <x:c r="AD179" s="4"/>
    </x:row>
    <x:row r="180">
      <x:c r="A180" s="4"/>
      <x:c r="B180" s="4"/>
      <x:c r="C180" s="4"/>
      <x:c r="D180" s="4"/>
      <x:c r="E180" s="4"/>
      <x:c r="F180" s="4"/>
      <x:c r="G180" s="4"/>
      <x:c r="H180" s="4"/>
      <x:c r="I180" s="4"/>
      <x:c r="J180" s="4"/>
      <x:c r="K180" s="4"/>
      <x:c r="L180" s="4"/>
      <x:c r="M180" s="4"/>
      <x:c r="N180" s="4"/>
      <x:c r="O180" s="4"/>
      <x:c r="P180" s="4"/>
      <x:c r="Q180" s="4"/>
      <x:c r="R180" s="4"/>
      <x:c r="S180" s="4"/>
      <x:c r="T180" s="4"/>
      <x:c r="U180" s="4"/>
      <x:c r="V180" s="4"/>
      <x:c r="W180" s="4"/>
      <x:c r="X180" s="4"/>
      <x:c r="Y180" s="4"/>
      <x:c r="Z180" s="4"/>
      <x:c r="AA180" s="4"/>
      <x:c r="AB180" s="4"/>
      <x:c r="AC180" s="4"/>
      <x:c r="AD180" s="4"/>
    </x:row>
    <x:row r="181">
      <x:c r="A181" s="4"/>
      <x:c r="B181" s="4"/>
      <x:c r="C181" s="4"/>
      <x:c r="D181" s="4"/>
      <x:c r="E181" s="4"/>
      <x:c r="F181" s="4"/>
      <x:c r="G181" s="4"/>
      <x:c r="H181" s="4"/>
      <x:c r="I181" s="4"/>
      <x:c r="J181" s="4"/>
      <x:c r="K181" s="4"/>
      <x:c r="L181" s="4"/>
      <x:c r="M181" s="4"/>
      <x:c r="N181" s="4"/>
      <x:c r="O181" s="4"/>
      <x:c r="P181" s="4"/>
      <x:c r="Q181" s="4"/>
      <x:c r="R181" s="4"/>
      <x:c r="S181" s="4"/>
      <x:c r="T181" s="4"/>
      <x:c r="U181" s="4"/>
      <x:c r="V181" s="4"/>
      <x:c r="W181" s="4"/>
      <x:c r="X181" s="4"/>
      <x:c r="Y181" s="4"/>
      <x:c r="Z181" s="4"/>
      <x:c r="AA181" s="4"/>
      <x:c r="AB181" s="4"/>
      <x:c r="AC181" s="4"/>
      <x:c r="AD181" s="4"/>
    </x:row>
    <x:row r="182">
      <x:c r="A182" s="4"/>
      <x:c r="B182" s="4"/>
      <x:c r="C182" s="4"/>
      <x:c r="D182" s="4"/>
      <x:c r="E182" s="4"/>
      <x:c r="F182" s="4"/>
      <x:c r="G182" s="4"/>
      <x:c r="H182" s="4"/>
      <x:c r="I182" s="4"/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4"/>
      <x:c r="W182" s="4"/>
      <x:c r="X182" s="4"/>
      <x:c r="Y182" s="4"/>
      <x:c r="Z182" s="4"/>
      <x:c r="AA182" s="4"/>
      <x:c r="AB182" s="4"/>
      <x:c r="AC182" s="4"/>
      <x:c r="AD182" s="4"/>
    </x:row>
    <x:row r="183">
      <x:c r="A183" s="4"/>
      <x:c r="B183" s="4"/>
      <x:c r="C183" s="4"/>
      <x:c r="D183" s="4"/>
      <x:c r="E183" s="4"/>
      <x:c r="F183" s="4"/>
      <x:c r="G183" s="4"/>
      <x:c r="H183" s="4"/>
      <x:c r="I183" s="4"/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4"/>
      <x:c r="W183" s="4"/>
      <x:c r="X183" s="4"/>
      <x:c r="Y183" s="4"/>
      <x:c r="Z183" s="4"/>
      <x:c r="AA183" s="4"/>
      <x:c r="AB183" s="4"/>
      <x:c r="AC183" s="4"/>
      <x:c r="AD183" s="4"/>
    </x:row>
    <x:row r="184">
      <x:c r="A184" s="4"/>
      <x:c r="B184" s="4"/>
      <x:c r="C184" s="4"/>
      <x:c r="D184" s="4"/>
      <x:c r="E184" s="4"/>
      <x:c r="F184" s="4"/>
      <x:c r="G184" s="4"/>
      <x:c r="H184" s="4"/>
      <x:c r="I184" s="4"/>
      <x:c r="J184" s="4"/>
      <x:c r="K184" s="4"/>
      <x:c r="L184" s="4"/>
      <x:c r="M184" s="4"/>
      <x:c r="N184" s="4"/>
      <x:c r="O184" s="4"/>
      <x:c r="P184" s="4"/>
      <x:c r="Q184" s="4"/>
      <x:c r="R184" s="4"/>
      <x:c r="S184" s="4"/>
      <x:c r="T184" s="4"/>
      <x:c r="U184" s="4"/>
      <x:c r="V184" s="4"/>
      <x:c r="W184" s="4"/>
      <x:c r="X184" s="4"/>
      <x:c r="Y184" s="4"/>
      <x:c r="Z184" s="4"/>
      <x:c r="AA184" s="4"/>
      <x:c r="AB184" s="4"/>
      <x:c r="AC184" s="4"/>
      <x:c r="AD184" s="4"/>
    </x:row>
    <x:row r="185">
      <x:c r="A185" s="4"/>
      <x:c r="B185" s="4"/>
      <x:c r="C185" s="4"/>
      <x:c r="D185" s="4"/>
      <x:c r="E185" s="4"/>
      <x:c r="F185" s="4"/>
      <x:c r="G185" s="4"/>
      <x:c r="H185" s="4"/>
      <x:c r="I185" s="4"/>
      <x:c r="J185" s="4"/>
      <x:c r="K185" s="4"/>
      <x:c r="L185" s="4"/>
      <x:c r="M185" s="4"/>
      <x:c r="N185" s="4"/>
      <x:c r="O185" s="4"/>
      <x:c r="P185" s="4"/>
      <x:c r="Q185" s="4"/>
      <x:c r="R185" s="4"/>
      <x:c r="S185" s="4"/>
      <x:c r="T185" s="4"/>
      <x:c r="U185" s="4"/>
      <x:c r="V185" s="4"/>
      <x:c r="W185" s="4"/>
      <x:c r="X185" s="4"/>
      <x:c r="Y185" s="4"/>
      <x:c r="Z185" s="4"/>
      <x:c r="AA185" s="4"/>
      <x:c r="AB185" s="4"/>
      <x:c r="AC185" s="4"/>
      <x:c r="AD185" s="4"/>
    </x:row>
    <x:row r="186">
      <x:c r="A186" s="4"/>
      <x:c r="B186" s="4"/>
      <x:c r="C186" s="4"/>
      <x:c r="D186" s="4"/>
      <x:c r="E186" s="4"/>
      <x:c r="F186" s="4"/>
      <x:c r="G186" s="4"/>
      <x:c r="H186" s="4"/>
      <x:c r="I186" s="4"/>
      <x:c r="J186" s="4"/>
      <x:c r="K186" s="4"/>
      <x:c r="L186" s="4"/>
      <x:c r="M186" s="4"/>
      <x:c r="N186" s="4"/>
      <x:c r="O186" s="4"/>
      <x:c r="P186" s="4"/>
      <x:c r="Q186" s="4"/>
      <x:c r="R186" s="4"/>
      <x:c r="S186" s="4"/>
      <x:c r="T186" s="4"/>
      <x:c r="U186" s="4"/>
      <x:c r="V186" s="4"/>
      <x:c r="W186" s="4"/>
      <x:c r="X186" s="4"/>
      <x:c r="Y186" s="4"/>
      <x:c r="Z186" s="4"/>
      <x:c r="AA186" s="4"/>
      <x:c r="AB186" s="4"/>
      <x:c r="AC186" s="4"/>
      <x:c r="AD186" s="4"/>
    </x:row>
    <x:row r="187">
      <x:c r="A187" s="4"/>
      <x:c r="B187" s="4"/>
      <x:c r="C187" s="4"/>
      <x:c r="D187" s="4"/>
      <x:c r="E187" s="4"/>
      <x:c r="F187" s="4"/>
      <x:c r="G187" s="4"/>
      <x:c r="H187" s="4"/>
      <x:c r="I187" s="4"/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4"/>
      <x:c r="W187" s="4"/>
      <x:c r="X187" s="4"/>
      <x:c r="Y187" s="4"/>
      <x:c r="Z187" s="4"/>
      <x:c r="AA187" s="4"/>
      <x:c r="AB187" s="4"/>
      <x:c r="AC187" s="4"/>
      <x:c r="AD187" s="4"/>
    </x:row>
    <x:row r="188">
      <x:c r="A188" s="4"/>
      <x:c r="B188" s="4"/>
      <x:c r="C188" s="4"/>
      <x:c r="D188" s="4"/>
      <x:c r="E188" s="4"/>
      <x:c r="F188" s="4"/>
      <x:c r="G188" s="4"/>
      <x:c r="H188" s="4"/>
      <x:c r="I188" s="4"/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4"/>
      <x:c r="W188" s="4"/>
      <x:c r="X188" s="4"/>
      <x:c r="Y188" s="4"/>
      <x:c r="Z188" s="4"/>
      <x:c r="AA188" s="4"/>
      <x:c r="AB188" s="4"/>
      <x:c r="AC188" s="4"/>
      <x:c r="AD188" s="4"/>
    </x:row>
    <x:row r="189">
      <x:c r="A189" s="4"/>
      <x:c r="B189" s="4"/>
      <x:c r="C189" s="4"/>
      <x:c r="D189" s="4"/>
      <x:c r="E189" s="4"/>
      <x:c r="F189" s="4"/>
      <x:c r="G189" s="4"/>
      <x:c r="H189" s="4"/>
      <x:c r="I189" s="4"/>
      <x:c r="J189" s="4"/>
      <x:c r="K189" s="4"/>
      <x:c r="L189" s="4"/>
      <x:c r="M189" s="4"/>
      <x:c r="N189" s="4"/>
      <x:c r="O189" s="4"/>
      <x:c r="P189" s="4"/>
      <x:c r="Q189" s="4"/>
      <x:c r="R189" s="4"/>
      <x:c r="S189" s="4"/>
      <x:c r="T189" s="4"/>
      <x:c r="U189" s="4"/>
      <x:c r="V189" s="4"/>
      <x:c r="W189" s="4"/>
      <x:c r="X189" s="4"/>
      <x:c r="Y189" s="4"/>
      <x:c r="Z189" s="4"/>
      <x:c r="AA189" s="4"/>
      <x:c r="AB189" s="4"/>
      <x:c r="AC189" s="4"/>
      <x:c r="AD189" s="4"/>
    </x:row>
    <x:row r="190">
      <x:c r="A190" s="4"/>
      <x:c r="B190" s="4"/>
      <x:c r="C190" s="4"/>
      <x:c r="D190" s="4"/>
      <x:c r="E190" s="4"/>
      <x:c r="F190" s="4"/>
      <x:c r="G190" s="4"/>
      <x:c r="H190" s="4"/>
      <x:c r="I190" s="4"/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4"/>
      <x:c r="W190" s="4"/>
      <x:c r="X190" s="4"/>
      <x:c r="Y190" s="4"/>
      <x:c r="Z190" s="4"/>
      <x:c r="AA190" s="4"/>
      <x:c r="AB190" s="4"/>
      <x:c r="AC190" s="4"/>
      <x:c r="AD190" s="4"/>
    </x:row>
    <x:row r="191">
      <x:c r="A191" s="4"/>
      <x:c r="B191" s="4"/>
      <x:c r="C191" s="4"/>
      <x:c r="D191" s="4"/>
      <x:c r="E191" s="4"/>
      <x:c r="F191" s="4"/>
      <x:c r="G191" s="4"/>
      <x:c r="H191" s="4"/>
      <x:c r="I191" s="4"/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4"/>
      <x:c r="W191" s="4"/>
      <x:c r="X191" s="4"/>
      <x:c r="Y191" s="4"/>
      <x:c r="Z191" s="4"/>
      <x:c r="AA191" s="4"/>
      <x:c r="AB191" s="4"/>
      <x:c r="AC191" s="4"/>
      <x:c r="AD191" s="4"/>
    </x:row>
    <x:row r="192">
      <x:c r="A192" s="4"/>
      <x:c r="B192" s="4"/>
      <x:c r="C192" s="4"/>
      <x:c r="D192" s="4"/>
      <x:c r="E192" s="4"/>
      <x:c r="F192" s="4"/>
      <x:c r="G192" s="4"/>
      <x:c r="H192" s="4"/>
      <x:c r="I192" s="4"/>
      <x:c r="J192" s="4"/>
      <x:c r="K192" s="4"/>
      <x:c r="L192" s="4"/>
      <x:c r="M192" s="4"/>
      <x:c r="N192" s="4"/>
      <x:c r="O192" s="4"/>
      <x:c r="P192" s="4"/>
      <x:c r="Q192" s="4"/>
      <x:c r="R192" s="4"/>
      <x:c r="S192" s="4"/>
      <x:c r="T192" s="4"/>
      <x:c r="U192" s="4"/>
      <x:c r="V192" s="4"/>
      <x:c r="W192" s="4"/>
      <x:c r="X192" s="4"/>
      <x:c r="Y192" s="4"/>
      <x:c r="Z192" s="4"/>
      <x:c r="AA192" s="4"/>
      <x:c r="AB192" s="4"/>
      <x:c r="AC192" s="4"/>
      <x:c r="AD192" s="4"/>
    </x:row>
    <x:row r="193">
      <x:c r="A193" s="4"/>
      <x:c r="B193" s="4"/>
      <x:c r="C193" s="4"/>
      <x:c r="D193" s="4"/>
      <x:c r="E193" s="4"/>
      <x:c r="F193" s="4"/>
      <x:c r="G193" s="4"/>
      <x:c r="H193" s="4"/>
      <x:c r="I193" s="4"/>
      <x:c r="J193" s="4"/>
      <x:c r="K193" s="4"/>
      <x:c r="L193" s="4"/>
      <x:c r="M193" s="4"/>
      <x:c r="N193" s="4"/>
      <x:c r="O193" s="4"/>
      <x:c r="P193" s="4"/>
      <x:c r="Q193" s="4"/>
      <x:c r="R193" s="4"/>
      <x:c r="S193" s="4"/>
      <x:c r="T193" s="4"/>
      <x:c r="U193" s="4"/>
      <x:c r="V193" s="4"/>
      <x:c r="W193" s="4"/>
      <x:c r="X193" s="4"/>
      <x:c r="Y193" s="4"/>
      <x:c r="Z193" s="4"/>
      <x:c r="AA193" s="4"/>
      <x:c r="AB193" s="4"/>
      <x:c r="AC193" s="4"/>
      <x:c r="AD193" s="4"/>
    </x:row>
    <x:row r="194">
      <x:c r="A194" s="4"/>
      <x:c r="B194" s="4"/>
      <x:c r="C194" s="4"/>
      <x:c r="D194" s="4"/>
      <x:c r="E194" s="4"/>
      <x:c r="F194" s="4"/>
      <x:c r="G194" s="4"/>
      <x:c r="H194" s="4"/>
      <x:c r="I194" s="4"/>
      <x:c r="J194" s="4"/>
      <x:c r="K194" s="4"/>
      <x:c r="L194" s="4"/>
      <x:c r="M194" s="4"/>
      <x:c r="N194" s="4"/>
      <x:c r="O194" s="4"/>
      <x:c r="P194" s="4"/>
      <x:c r="Q194" s="4"/>
      <x:c r="R194" s="4"/>
      <x:c r="S194" s="4"/>
      <x:c r="T194" s="4"/>
      <x:c r="U194" s="4"/>
      <x:c r="V194" s="4"/>
      <x:c r="W194" s="4"/>
      <x:c r="X194" s="4"/>
      <x:c r="Y194" s="4"/>
      <x:c r="Z194" s="4"/>
      <x:c r="AA194" s="4"/>
      <x:c r="AB194" s="4"/>
      <x:c r="AC194" s="4"/>
      <x:c r="AD194" s="4"/>
    </x:row>
    <x:row r="195">
      <x:c r="A195" s="4"/>
      <x:c r="B195" s="4"/>
      <x:c r="C195" s="4"/>
      <x:c r="D195" s="4"/>
      <x:c r="E195" s="4"/>
      <x:c r="F195" s="4"/>
      <x:c r="G195" s="4"/>
      <x:c r="H195" s="4"/>
      <x:c r="I195" s="4"/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4"/>
      <x:c r="W195" s="4"/>
      <x:c r="X195" s="4"/>
      <x:c r="Y195" s="4"/>
      <x:c r="Z195" s="4"/>
      <x:c r="AA195" s="4"/>
      <x:c r="AB195" s="4"/>
      <x:c r="AC195" s="4"/>
      <x:c r="AD195" s="4"/>
    </x:row>
    <x:row r="196">
      <x:c r="A196" s="4"/>
      <x:c r="B196" s="4"/>
      <x:c r="C196" s="4"/>
      <x:c r="D196" s="4"/>
      <x:c r="E196" s="4"/>
      <x:c r="F196" s="4"/>
      <x:c r="G196" s="4"/>
      <x:c r="H196" s="4"/>
      <x:c r="I196" s="4"/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4"/>
      <x:c r="W196" s="4"/>
      <x:c r="X196" s="4"/>
      <x:c r="Y196" s="4"/>
      <x:c r="Z196" s="4"/>
      <x:c r="AA196" s="4"/>
      <x:c r="AB196" s="4"/>
      <x:c r="AC196" s="4"/>
      <x:c r="AD196" s="4"/>
    </x:row>
    <x:row r="197">
      <x:c r="A197" s="4"/>
      <x:c r="B197" s="4"/>
      <x:c r="C197" s="4"/>
      <x:c r="D197" s="4"/>
      <x:c r="E197" s="4"/>
      <x:c r="F197" s="4"/>
      <x:c r="G197" s="4"/>
      <x:c r="H197" s="4"/>
      <x:c r="I197" s="4"/>
      <x:c r="J197" s="4"/>
      <x:c r="K197" s="4"/>
      <x:c r="L197" s="4"/>
      <x:c r="M197" s="4"/>
      <x:c r="N197" s="4"/>
      <x:c r="O197" s="4"/>
      <x:c r="P197" s="4"/>
      <x:c r="Q197" s="4"/>
      <x:c r="R197" s="4"/>
      <x:c r="S197" s="4"/>
      <x:c r="T197" s="4"/>
      <x:c r="U197" s="4"/>
      <x:c r="V197" s="4"/>
      <x:c r="W197" s="4"/>
      <x:c r="X197" s="4"/>
      <x:c r="Y197" s="4"/>
      <x:c r="Z197" s="4"/>
      <x:c r="AA197" s="4"/>
      <x:c r="AB197" s="4"/>
      <x:c r="AC197" s="4"/>
      <x:c r="AD197" s="4"/>
    </x:row>
    <x:row r="198">
      <x:c r="A198" s="4"/>
      <x:c r="B198" s="4"/>
      <x:c r="C198" s="4"/>
      <x:c r="D198" s="4"/>
      <x:c r="E198" s="4"/>
      <x:c r="F198" s="4"/>
      <x:c r="G198" s="4"/>
      <x:c r="H198" s="4"/>
      <x:c r="I198" s="4"/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4"/>
      <x:c r="W198" s="4"/>
      <x:c r="X198" s="4"/>
      <x:c r="Y198" s="4"/>
      <x:c r="Z198" s="4"/>
      <x:c r="AA198" s="4"/>
      <x:c r="AB198" s="4"/>
      <x:c r="AC198" s="4"/>
      <x:c r="AD198" s="4"/>
    </x:row>
    <x:row r="199">
      <x:c r="A199" s="4"/>
      <x:c r="B199" s="4"/>
      <x:c r="C199" s="4"/>
      <x:c r="D199" s="4"/>
      <x:c r="E199" s="4"/>
      <x:c r="F199" s="4"/>
      <x:c r="G199" s="4"/>
      <x:c r="H199" s="4"/>
      <x:c r="I199" s="4"/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4"/>
      <x:c r="W199" s="4"/>
      <x:c r="X199" s="4"/>
      <x:c r="Y199" s="4"/>
      <x:c r="Z199" s="4"/>
      <x:c r="AA199" s="4"/>
      <x:c r="AB199" s="4"/>
      <x:c r="AC199" s="4"/>
      <x:c r="AD199" s="4"/>
    </x:row>
    <x:row r="200">
      <x:c r="A200" s="4"/>
      <x:c r="B200" s="4"/>
      <x:c r="C200" s="4"/>
      <x:c r="D200" s="4"/>
      <x:c r="E200" s="4"/>
      <x:c r="F200" s="4"/>
      <x:c r="G200" s="4"/>
      <x:c r="H200" s="4"/>
      <x:c r="I200" s="4"/>
      <x:c r="J200" s="4"/>
      <x:c r="K200" s="4"/>
      <x:c r="L200" s="4"/>
      <x:c r="M200" s="4"/>
      <x:c r="N200" s="4"/>
      <x:c r="O200" s="4"/>
      <x:c r="P200" s="4"/>
      <x:c r="Q200" s="4"/>
      <x:c r="R200" s="4"/>
      <x:c r="S200" s="4"/>
      <x:c r="T200" s="4"/>
      <x:c r="U200" s="4"/>
      <x:c r="V200" s="4"/>
      <x:c r="W200" s="4"/>
      <x:c r="X200" s="4"/>
      <x:c r="Y200" s="4"/>
      <x:c r="Z200" s="4"/>
      <x:c r="AA200" s="4"/>
      <x:c r="AB200" s="4"/>
      <x:c r="AC200" s="4"/>
      <x:c r="AD200" s="4"/>
    </x:row>
  </x:sheetData>
  <x:mergeCells>
    <x:mergeCell ref="A1:H1"/>
  </x:mergeCells>
  <x:pageMargins left="0.7" right="0.7" top="0.75" bottom="0.75" header="0.3" footer="0.3"/>
</x:worksheet>
</file>